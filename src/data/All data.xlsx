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08" activeTab="7"/>
  </bookViews>
  <sheets>
    <sheet name="Sheet1" sheetId="1" r:id="rId1"/>
    <sheet name="Sheet3" sheetId="2" r:id="rId2"/>
    <sheet name="BNKS" sheetId="3" r:id="rId3"/>
    <sheet name=" SXC J" sheetId="4" r:id="rId4"/>
    <sheet name="Uniglobe" sheetId="5" r:id="rId5"/>
    <sheet name="KMC" sheetId="6" r:id="rId6"/>
    <sheet name="SXC M" sheetId="7" r:id="rId7"/>
    <sheet name="KV"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<sst xmlns="http://schemas.openxmlformats.org/spreadsheetml/2006/main" count="1674" uniqueCount="445">
  <si>
    <t>Timestamp</t>
  </si>
  <si>
    <t>What is your name? (you may use an alias)</t>
  </si>
  <si>
    <t>What's your gender?</t>
  </si>
  <si>
    <t>Which high school school / college are you from?</t>
  </si>
  <si>
    <t>Are you satisfied with your school/ college?</t>
  </si>
  <si>
    <t>If not, which school/ college do you prefer?</t>
  </si>
  <si>
    <t>What's your current grade?</t>
  </si>
  <si>
    <t>Rate the infrastructure in your school/ college from 1 to 10 comparing it with the pictures below. (the higher the better) [infrastructure include buildings, classrooms, labs, and library]
Example: If the overall infrastructure is better than the pictures below, give a rating of 9-10.</t>
  </si>
  <si>
    <t>Explain why you gave that particular rating. (1/2 sentence)
If you don't want to answer mention NA m</t>
  </si>
  <si>
    <t>Rate the total cost of attending the school (tuition, hostel if applicable, other school fees) on a scale of 1-5</t>
  </si>
  <si>
    <t>Please mention the amount per month. (All costs including tuition, bus fees, exam fees, hostel fees, etc.)</t>
  </si>
  <si>
    <t>How do you rate the potential benefits after leaving the school/ college? (University placements, alumni network, connections while looking for internships, etc.)
If you can get placements in universities, find internships easily, or can actively connect/ ask help with the alumni network, select 10</t>
  </si>
  <si>
    <t>Explain why you gave that particular rating. (1/2 sentence)
If you don't want to answer mention NA</t>
  </si>
  <si>
    <t>Any additional things you want to say about your school's/ college's infrastructure, fees and pricing, and potential benefits after graduating?
Please Note: : To verify originality, You must write at least a small and meaningful sentence here. Failure to do so may nullify the whole survey.</t>
  </si>
  <si>
    <t xml:space="preserve">Do you want to help any student who might be joining your school/college? If applicable, please state a email, social media handle, etc. </t>
  </si>
  <si>
    <t>Please rate the effectiveness of the teaching style. Note: 5 being the best</t>
  </si>
  <si>
    <t xml:space="preserve">Do your teachers help with your doubts and questions? </t>
  </si>
  <si>
    <t xml:space="preserve">Does your school/college have a disciplinary in charge(DI), or anyone similar? </t>
  </si>
  <si>
    <t xml:space="preserve">If your school/college has a DI or Similar. Are you satisfied with them? Note: 5 means fully satisfied, no complaints. </t>
  </si>
  <si>
    <t xml:space="preserve">Do teachers usually engage in physical disciplinary practices? like slapping, physical force, etc. </t>
  </si>
  <si>
    <t>For what reasons do teachers and DI often punish students for? 
If students are not punished, mention NA.</t>
  </si>
  <si>
    <t xml:space="preserve">How well are you satisfied with the principle, coordinator, or other higher-ranked entities? Note: 5 represents the highest satisfaction. </t>
  </si>
  <si>
    <t xml:space="preserve">How Strict is the attendance policy? Note: strict assumes you will be punished. </t>
  </si>
  <si>
    <t xml:space="preserve">How hard is are exams, and how strictly are your exam papers graded? Note: 5 represents very hard and strict. </t>
  </si>
  <si>
    <t xml:space="preserve">How strict are policies surrounding: hair, nails, etc? Note: 5 represents extremely strict: </t>
  </si>
  <si>
    <t xml:space="preserve">How disturbing are your classmates, can teachers keep the class in control? </t>
  </si>
  <si>
    <t xml:space="preserve">Do teachers usually send accurate Model Sets, Past Papers, and Practice Questions before the exam? Note: 5 representing “Yes they do; and it's very helpful”. </t>
  </si>
  <si>
    <t xml:space="preserve">If you had a sibling, would you prefer them to study at your current school/college? </t>
  </si>
  <si>
    <t>Did your current school/college meet your expectations, considering how you saw it during visits, feedback sessions, orientations etc.?</t>
  </si>
  <si>
    <t>Please discuss parts we have missed; or parts you'd like other students to know if they're joining your school/college. You can effectively discuss anything that's relevant, and this will be anonymous. 
Please Note: : To verify originality, You must write atleast a small and meaningful sentence here. Failure to do so may nulify the whole survey.</t>
  </si>
  <si>
    <t>Are there any incidents of school/college faculty abuse you may have heard about? If so, could you please discuss in brief?</t>
  </si>
  <si>
    <t>TatoPani</t>
  </si>
  <si>
    <t>Male</t>
  </si>
  <si>
    <t xml:space="preserve">Amity foundation college from birtamod jhapa </t>
  </si>
  <si>
    <t>Yes</t>
  </si>
  <si>
    <t xml:space="preserve">i prefer my college </t>
  </si>
  <si>
    <t>12/ A2 or equivalent</t>
  </si>
  <si>
    <t xml:space="preserve">there is everything in that school </t>
  </si>
  <si>
    <t>7k per month or less</t>
  </si>
  <si>
    <t xml:space="preserve">i dont remember having this opportunity in my school while there i was just incompetent </t>
  </si>
  <si>
    <t>Teacher are nice and yea i didn't had friends so it wasn't good exp but ifni did everything is nice</t>
  </si>
  <si>
    <t>sure</t>
  </si>
  <si>
    <t>Yes, a lot.</t>
  </si>
  <si>
    <t>Rarely</t>
  </si>
  <si>
    <t xml:space="preserve">the current DI is good previous one pedophile </t>
  </si>
  <si>
    <t>Decent. You get calls for being absent:</t>
  </si>
  <si>
    <t>They're supportive and they do not make noises.</t>
  </si>
  <si>
    <t>they do survey the college and its super good tho i dont know if they implement they also have suggestions boxes</t>
  </si>
  <si>
    <t xml:space="preserve">i heard previous DI when i was in 11 was Pedophile </t>
  </si>
  <si>
    <t>aarya</t>
  </si>
  <si>
    <t>BNKS</t>
  </si>
  <si>
    <t>RBS</t>
  </si>
  <si>
    <t>Graduated from high school</t>
  </si>
  <si>
    <t>There's facilities but some of it is old.</t>
  </si>
  <si>
    <t>Good alumni network.</t>
  </si>
  <si>
    <t>The school's great and reputed, rightfully so but it hasn't been too long since i graduated so I can't assess the long term benefits.</t>
  </si>
  <si>
    <t>Yes., Sometimes.</t>
  </si>
  <si>
    <t>No</t>
  </si>
  <si>
    <t>Never</t>
  </si>
  <si>
    <t>Fined for using phones and illegal substances which is valid.</t>
  </si>
  <si>
    <t>There are some who are disturbing, but most are fine .</t>
  </si>
  <si>
    <t>Interact with people</t>
  </si>
  <si>
    <t>Riya</t>
  </si>
  <si>
    <t>Female</t>
  </si>
  <si>
    <t xml:space="preserve">Budanilkantha School </t>
  </si>
  <si>
    <t>None</t>
  </si>
  <si>
    <t>My High school looks better</t>
  </si>
  <si>
    <t>Best Alumni network. Provides all the necessary information for applying to universities all over the world</t>
  </si>
  <si>
    <t xml:space="preserve">Amazing resources, very competitive so pushes you to be better, plenty of clubs to explore your interests, good hostel environment overall </t>
  </si>
  <si>
    <t>Yes.</t>
  </si>
  <si>
    <t>Bunking class, relationships</t>
  </si>
  <si>
    <t>Relatively lenient.</t>
  </si>
  <si>
    <t xml:space="preserve">The school is fine but there is a lot of bullying from seniors that needs to stop and teachers also turn a blind eye to it </t>
  </si>
  <si>
    <t xml:space="preserve">Subarna </t>
  </si>
  <si>
    <t>Budhanilkantha School</t>
  </si>
  <si>
    <t>Satisfied</t>
  </si>
  <si>
    <t xml:space="preserve">The infrastructure is quite good but is old </t>
  </si>
  <si>
    <t>I believe the alumni network is strong</t>
  </si>
  <si>
    <t>The school is quite good in the aspect of giving good education but has a bit of old fashioned infrastructure.</t>
  </si>
  <si>
    <t>N/A</t>
  </si>
  <si>
    <t>the teachers are friendly except (K**)</t>
  </si>
  <si>
    <t>no</t>
  </si>
  <si>
    <t xml:space="preserve">Aayu Pyakuryal </t>
  </si>
  <si>
    <t xml:space="preserve">Chelsea International Academy </t>
  </si>
  <si>
    <t>Proper infrastructure that is balanced with good quality education.</t>
  </si>
  <si>
    <t>Strong alumni network and placement such as Cambridge, Duke, Princeton, ANU, Monash and many more.</t>
  </si>
  <si>
    <t>Top tier education, infrastructure and placement.</t>
  </si>
  <si>
    <t>For behavior misconduct and malpractices withing the school premises.</t>
  </si>
  <si>
    <t>The only downside is it's location as it's far from the central Kathmandu Valley.</t>
  </si>
  <si>
    <t>Craig</t>
  </si>
  <si>
    <t xml:space="preserve">Everest English Boarding Secondary School </t>
  </si>
  <si>
    <t>St. Xaviers</t>
  </si>
  <si>
    <t xml:space="preserve">MA </t>
  </si>
  <si>
    <t>NA</t>
  </si>
  <si>
    <t>It is a below average educational institution.</t>
  </si>
  <si>
    <t>No, I would suggest not to apply in this college.</t>
  </si>
  <si>
    <t>Maybe</t>
  </si>
  <si>
    <t>Maybe you could have asked about the location or region from which the institution belongs.</t>
  </si>
  <si>
    <t>I haven't heard anything like that.</t>
  </si>
  <si>
    <t xml:space="preserve">Eleanor </t>
  </si>
  <si>
    <t>Global College International</t>
  </si>
  <si>
    <t>around 9lakh for two years</t>
  </si>
  <si>
    <t xml:space="preserve">The infrastructure and fees are quite reasonable but falls behind on networking opportunities. Students with high ambitions will find limited opportunities to push themselves beyond classroom. </t>
  </si>
  <si>
    <t>Classmates are disturbing. But teachers can handle it.</t>
  </si>
  <si>
    <t xml:space="preserve">Teachers are helpful and approachable dont hesitate to approach them. Also no one will push you, motivation has to come from yourself </t>
  </si>
  <si>
    <t>Ren</t>
  </si>
  <si>
    <t>Global School of Science</t>
  </si>
  <si>
    <t>something a lil less strict</t>
  </si>
  <si>
    <t>Its big just not that big, The cafeteria, library and the open ground just feel "not enough"</t>
  </si>
  <si>
    <t>Im not sure, i only paid for bus fees which amounted to 36000 a year, for two years so 72000. and for the excursions and welcome programs which maybe add up to 6000-8000</t>
  </si>
  <si>
    <t>i have no idea</t>
  </si>
  <si>
    <t xml:space="preserve">The leisure system is pretty cool. It feels pretty crowded at toilet breaks, lunch breaks and ofc right after the evening bell. The teachers will help you if you're willing to do something instead of nothing. And yeah the notes and Clearance system is pretty strict, overboard if you ask me and not the best soln for everyone. actually, its more like a duct tape fix than an actual solution. </t>
  </si>
  <si>
    <t>Yes, sometimes.</t>
  </si>
  <si>
    <t>Hair, Nails, talking during a class, eating during a class, insulting them i havent seen anyone do that but pretty sure they would fire back lol</t>
  </si>
  <si>
    <t>Extremely strict. You cannot be absent without a valid reason, e.g., medical.</t>
  </si>
  <si>
    <t xml:space="preserve">yeah if they are academically oriented already with already all the right habits, easy recommendation. </t>
  </si>
  <si>
    <t>It is heaven for toppers and hell for those who are in school only cause of their parents. and yet the school seemed to target both extremes and do it pretty effectively. if you are not clear with which side you wanna end up in, you will be bunched with the wrong crowd and rot to oblivion. the schools soln for those in the middle is getting them into a routine at least with the clearances and weekly exams. Its pretty good actually, the more you comply into their system and play their game, the better your experience really. You are rewarded for your work and punished for lack of it. I ended up refusing to play the game and so my experience didn't go as well as it could have but even then, I really liked the rare moments where i did get to. You really have to trust the school with these things, for me and a sizeable majority this is hard.
The school's soln to turning non-believers into believers is to just push them around until they give up and do what the school says, or prove yourself and prove that you can do very well by yourself. Toppers will be spared a lot of "hassle" but at the same time expectations are always high as well.
Once again tho, middle of the road students are really left in disarray. what i mean are the students who have never had to study seriously for anything by themselves and have never relied on school systems. These people have grown somewhat disillusioned with what the school tells you to do, as they always had success even without that. For +2 especially science, you're kinda fcked if you either dont have a study routine, or if you're not willing to use the school's systems: weekly tests, 5 sets, practice books, very occasional homeworks that act more as revisions. 
I just wished the school had a better way of guiding these individuals.</t>
  </si>
  <si>
    <t>not really</t>
  </si>
  <si>
    <t>Karishma sapkota</t>
  </si>
  <si>
    <t xml:space="preserve">Gyanodaya secondary school </t>
  </si>
  <si>
    <t>Prefer not to say</t>
  </si>
  <si>
    <t>Uniglobe</t>
  </si>
  <si>
    <t>7/10.        3000 per month</t>
  </si>
  <si>
    <t xml:space="preserve">I think for the management department the college is pretty good. Since I'm in science faculty it's not that good than I imagined. We do have labs smart board but it is not enough not suitable. Otherwise the education system is pretty good </t>
  </si>
  <si>
    <t xml:space="preserve">When they do not obey them although being warned several times </t>
  </si>
  <si>
    <t>Strict. You cannot be absent without informing.</t>
  </si>
  <si>
    <t>Student joining must be mentally stable if In science faculty.they should mainly focus on studying which is good somehow but don't think they are not strict</t>
  </si>
  <si>
    <t xml:space="preserve">Yess but I'm not sure.
And I heard about the rape case 
One student did it about 2/3 years ago I guess. And they are still looking for that guy </t>
  </si>
  <si>
    <t>k.v.s</t>
  </si>
  <si>
    <t>prefer not to say</t>
  </si>
  <si>
    <t>11/ A1 or equivalent</t>
  </si>
  <si>
    <t>UNIFORM, HAIRSTYLE, TALKING TO BOYS- AS A GIRL</t>
  </si>
  <si>
    <t>I would suggest not joining Kendriya Vidyalaya unless your main goal is to pursue opportunities in India. Academically, Kendriya Vidyalaya is slightly stronger and may be better suited for higher studies. However, in terms of the overall school environment, it is quite traditional. Even though it is a co-educational school, interaction between boys and girls is often discouraged. The treatment students receive from the principal and some teachers can also be quite strict. While the quality of education is generally good, there are certain subjects where the teaching may not always be clear or easy to understand</t>
  </si>
  <si>
    <t>I haven’t personally experienced any major incidents, but as a KV student, I can say that even a small mistake can sometimes lead to a very strong reaction from the school authorities. If a teacher is displeased with something, even if it seems minor, you may be called out or disciplined. In some cases, students are threatened with suspension forms or Transfer Certificate (TC) forms, which can be quite intimidating. While I wouldn’t describe this as abuse by the school faculty, the disciplinary approach can be very strict and sometimes overwhelming for students.</t>
  </si>
  <si>
    <t>Suman Adhikari</t>
  </si>
  <si>
    <t>Kathmandu Bernhardt Secondary School and Collage</t>
  </si>
  <si>
    <t>May be trinity or uniglobe</t>
  </si>
  <si>
    <t>The infrastructure is not quite standard and lacking in many ways</t>
  </si>
  <si>
    <t>5 (Abt 20000 per month)</t>
  </si>
  <si>
    <t>I feel it's not only about the collage but also the practical experiences we get(our collage is more grade oriented)</t>
  </si>
  <si>
    <t xml:space="preserve">I hope the infrastructure gets more developed and our course includes various practical and extra curricular activities 
</t>
  </si>
  <si>
    <t>Sometimes.</t>
  </si>
  <si>
    <t xml:space="preserve">Mostly for hygine or unacceptable behavior </t>
  </si>
  <si>
    <t xml:space="preserve">It's a very good place for study focused students but not for physically active students.
Also I hope the collage can allow us to wear a more comfortable attire(track,etc) at least some days a week </t>
  </si>
  <si>
    <t>Saurya Adhikari</t>
  </si>
  <si>
    <t>Kathmandu model college</t>
  </si>
  <si>
    <t>St.Xavier's</t>
  </si>
  <si>
    <t xml:space="preserve">NA </t>
  </si>
  <si>
    <t>Rs.75000</t>
  </si>
  <si>
    <t xml:space="preserve">Too pricey according to the infrastructure and the college is really strict regarding hairstyle and some other rules which seems very unreasonable. </t>
  </si>
  <si>
    <t>Yes, regularly.</t>
  </si>
  <si>
    <t xml:space="preserve">Haircut </t>
  </si>
  <si>
    <t>You can join this college if your only motive is to study all day. You barely get any time for other hobbies and the college is really strict regarding uniform and hairstyle.</t>
  </si>
  <si>
    <t>The DI got kicked out for physically assaulting a student for long hair.</t>
  </si>
  <si>
    <t>Abhyudaya Bhattarai</t>
  </si>
  <si>
    <t>Kathmanu Modal College</t>
  </si>
  <si>
    <t>St. Xavier College OR Rato Bangla</t>
  </si>
  <si>
    <t>The college is good overall, but I think some rules about appearance, like hairstyle, are a bit too strict since they don't really affect our studies. I also feel there should be more extracurricular activities and events where students can participate and develop new skills. These things make college life more enjoyable and also help students in the future.</t>
  </si>
  <si>
    <t xml:space="preserve">Hairstyles, Not bringing books, going to washroom during free period between classes while no teacher is present,  etc. DI's also cut the student's hair in school itself by preventing them form going into class and cutting the hair in the parking area or in the ground. </t>
  </si>
  <si>
    <t xml:space="preserve">Just be prepared because the college is quite strict. They care a lot about things like hairstyle and appearance, sometimes more than necessary. DIs also come to check the washrooms from time to time, which honestly feels uncomfortable. I think the focus should be more on studies and giving students more opportunities in ECA and other activities. Other than that, the teachers are helpful if you're serious about your studies.
</t>
  </si>
  <si>
    <t>I personally witnessed a DI cutting a student's hair inside the college as a form of punishment, which I don't think is appropriate and can negatively affect a student's confidence and mental well-being. I also had a teacher openly admit in class that he had physically beaten students in the past for getting poor marks in terminal exams. I believe discipline is important, but it should never involve physical punishment or actions that humiliate students.</t>
  </si>
  <si>
    <t xml:space="preserve">Kavya School +2 </t>
  </si>
  <si>
    <t xml:space="preserve">Ullens/Premier </t>
  </si>
  <si>
    <t xml:space="preserve">Arguably the best infrastructure in the country. However, the furniture may be damaged. </t>
  </si>
  <si>
    <t xml:space="preserve">The network with ING colleges is strong, + they prefer you for internship. </t>
  </si>
  <si>
    <t xml:space="preserve">You get connected with the network of ING institutions where you are preferred for jobs and given a discount. You are also offered an internship while in HS. </t>
  </si>
  <si>
    <t>Hell nah</t>
  </si>
  <si>
    <t xml:space="preserve">Mostly for disturbances. Well there are a few student beaters: Biraj Thapa is one of them. He has given direct threats to beat students in the washroom. </t>
  </si>
  <si>
    <t>Classmates are disturbing. I cannot study.</t>
  </si>
  <si>
    <t xml:space="preserve">Don't go to that place. That's a living hell unless you don’t want to study whatsoever. It sucks, everyone is shouting like a freak there. </t>
  </si>
  <si>
    <t xml:space="preserve">Yea the biraj thapa guy has repeatedly beaten up a lot of students. </t>
  </si>
  <si>
    <t>Ayan Mishra</t>
  </si>
  <si>
    <t>Kendriya Vidyalaya, EOI</t>
  </si>
  <si>
    <t xml:space="preserve">Approximately 22k </t>
  </si>
  <si>
    <t xml:space="preserve">The main attraction is probably the potential benefits post graduation with a scholarship in India specifically becoming very accessible due to having attended this specific school. </t>
  </si>
  <si>
    <t xml:space="preserve">Although not really recommended, there is a Facebook page with the same name as the school itself, don't have the exact link at hand. </t>
  </si>
  <si>
    <t xml:space="preserve">Although I don't get the reason behind the anonymity, I suppose the main concern that should be taken care of before joining this school is the current faculty rotation. All subject teachers are changed on a 3-year basis, and being lucky enough to get a batch of decent teachers is very much essential. 
</t>
  </si>
  <si>
    <t xml:space="preserve">Not really, no. </t>
  </si>
  <si>
    <t>prajwol gc</t>
  </si>
  <si>
    <t>kmc</t>
  </si>
  <si>
    <t>i was happy</t>
  </si>
  <si>
    <t>kmc.bagbazar is complicated with one block having excellent infrastructure used to attract student while comprising another block with its infrastructure</t>
  </si>
  <si>
    <t>25,000 with van service  included 9k</t>
  </si>
  <si>
    <t>help me excel my potential and push my self but at the cost of socialization and individualistic</t>
  </si>
  <si>
    <t xml:space="preserve">its very expensive but for an avg student and steady income household its suitable.i got to met ppl from all over the world , some whogot scholarship for free and where from  unstable houshold, some forced by their dad, some i got to met ppl who i thought where not possible. like girl from goverment school who excels in english and science both. a boy from st xaiver school who fail in  3 subject. its different thing i never thought could be possible. helped me grow from my personal narrow mindset and explore my potential, ,my all-nighter helped me score good grades , which never thought was so possible, so kmc rrly helped alot academically. glad for the 2 yr but wont prob repeat it again </t>
  </si>
  <si>
    <t>hair, less grade</t>
  </si>
  <si>
    <t xml:space="preserve">to join kmc u must be ready for the grind </t>
  </si>
  <si>
    <t>yeah scandal where di beat the student but it was resolved</t>
  </si>
  <si>
    <t>Sussy</t>
  </si>
  <si>
    <t>Kmc</t>
  </si>
  <si>
    <t xml:space="preserve">I am very much satisfied with my current one </t>
  </si>
  <si>
    <t>70k</t>
  </si>
  <si>
    <t>Insfrastructure is really modern and fascinating though the fees seems to be quite high compared to other colleges.</t>
  </si>
  <si>
    <t xml:space="preserve">Not maintaining discipline </t>
  </si>
  <si>
    <t>It isn’t very strict here as rumoured tbh.</t>
  </si>
  <si>
    <t xml:space="preserve">I don’t think so </t>
  </si>
  <si>
    <t>Alias</t>
  </si>
  <si>
    <t xml:space="preserve">Laxmi secondary school </t>
  </si>
  <si>
    <t>Teacher are shit</t>
  </si>
  <si>
    <t xml:space="preserve">No hostel, no tuition, it's around 22 k annually </t>
  </si>
  <si>
    <t>Na</t>
  </si>
  <si>
    <t xml:space="preserve">There's incomplete building, no proper library, inexperienced teacher, no competition,no test, inedible canteen food, no extracurricular activities for beginners </t>
  </si>
  <si>
    <t>No , it's shit</t>
  </si>
  <si>
    <t>Classmates are disturbing. But it's slightly manageable.</t>
  </si>
  <si>
    <t xml:space="preserve">The school is highly mismanaged. The principal is dominated by a random old teacher. Teacher are sexist . Our female principal hates talking with female student. </t>
  </si>
  <si>
    <t xml:space="preserve">Teacher dating a minor classmates </t>
  </si>
  <si>
    <t xml:space="preserve">Aashika Bhattarai </t>
  </si>
  <si>
    <t xml:space="preserve">Liverpool international college </t>
  </si>
  <si>
    <t xml:space="preserve">I'm satisfied </t>
  </si>
  <si>
    <t>It's a great college for further study and I'm hoping I'll make me more responsible and discipline.</t>
  </si>
  <si>
    <t>aashikabhattarai17@gmail.com</t>
  </si>
  <si>
    <t>Yes, a lot., Yes.</t>
  </si>
  <si>
    <t xml:space="preserve">It's one of the best college </t>
  </si>
  <si>
    <t>Rabin Bishwokarma</t>
  </si>
  <si>
    <t xml:space="preserve">Nepathya college </t>
  </si>
  <si>
    <t xml:space="preserve">Horizon </t>
  </si>
  <si>
    <t>Because l liked the infrastructure and teachers of the college. The facilities are great too</t>
  </si>
  <si>
    <t>Total year fee 105000</t>
  </si>
  <si>
    <t xml:space="preserve">Because it the second best institution in Nepal in regards of job (IT) placement </t>
  </si>
  <si>
    <t xml:space="preserve">They not only focus on study but also on many real world experiences </t>
  </si>
  <si>
    <t>Nepathya college Facebook and instagram</t>
  </si>
  <si>
    <t xml:space="preserve">When they don’t follow the rule or do something 
Prohibited </t>
  </si>
  <si>
    <t xml:space="preserve">Our college believes in giving opportunities to students in which field they are great in </t>
  </si>
  <si>
    <t>Nope</t>
  </si>
  <si>
    <t>Rohan Magar</t>
  </si>
  <si>
    <t>Prasadi Academy, Lalitpur</t>
  </si>
  <si>
    <t>Don't know. I have little information about other colleges.</t>
  </si>
  <si>
    <t xml:space="preserve">Classrooms are good, fixed desks and benches, therefore everyone gets equal space. Boards can be seen even from last bench. There were no projectors or computers in the classroom. Library is a joke, it can't even be called a library. There are only select academic books of Grade 11 and 12, daily newspapers and Prasadi Journals. The sitting capacity of library is max 20-25 students. Labs are good. There is no playground of any sort. No meeting halls. </t>
  </si>
  <si>
    <t>Total Package was around 2 lakh 50 thousands for 11 and 12 combined. So around 11k a month. I dont know about hostel fees. Books costs around 6-7k per year. There is no transportation facility given by the college. So, most students use public transport, costs vary according to distance(20-45 rupees).</t>
  </si>
  <si>
    <t>I don't have much information to answer this.</t>
  </si>
  <si>
    <t>Like every school or college, there are good teacher and there are bad teachers. Prasadi Academy is well known for its strict discipline. You have to arrive early, being late results in detention. There are 6 periods in each day and a 20 min gap after 3rd period. You'll have to manage eating in a busy canteen and busy toilets within these 20 minutes. During my time, there was almost no ECAs. There was a club which conducted poem writing competitions, flower showing competitions, but 0 sport related activities. However, I hear they have added some more ECAs, after I graduated but I'm can't verify them. I graduated in 2025.</t>
  </si>
  <si>
    <t>royn55356@gmail.com</t>
  </si>
  <si>
    <t xml:space="preserve">Usually for late arrivals, long hairs, nails, improper uniform. There's always a guard patrolling the corridors of each floor to check whether the students are making noise or not. </t>
  </si>
  <si>
    <t>On the subject of effectiveness of teaching style, it varied according to the teacher. Many teachers welcome questions but some gets irritated. 75% of the teachers taught very well, but the rest was either manageable or just plain bad at teaching. The school environment is very strict. You can't leave the classroom without proper reasons, you can't wander around the corridors which are pretty normal. You can't access library during class hours. So, you'd have to manage in the 20 minutes break time you were provided.</t>
  </si>
  <si>
    <t>There are unverified claims of a student committing suicide due to the study pressure and the strict discipline. It was around 6-7 yrs ago. 
Teachers are strictly prohibited to hit students. However, they maybe asked to stand in front of the classroom facing the wall if they make noise in the classroom. If they fail to complete assignments, they may be summoned to the Chief's(Principal) office and their parents would be informed. So, in that regard the college environment is safe.</t>
  </si>
  <si>
    <t>Mayank Niraula</t>
  </si>
  <si>
    <t>Premier International IB Continuum School</t>
  </si>
  <si>
    <t>Premier really has a good and modern infrastructure which looks very similar to the picture shared above.</t>
  </si>
  <si>
    <t>Very supportive alumni along with the university counselors. Helps a lot being a IB continuum school.</t>
  </si>
  <si>
    <t>N/a</t>
  </si>
  <si>
    <t>neon</t>
  </si>
  <si>
    <t>Sainik Awasiya Mahavidyalaya, Bhaktapur</t>
  </si>
  <si>
    <t>KMC cause I had a good scholarship</t>
  </si>
  <si>
    <t>Worse than a government school</t>
  </si>
  <si>
    <t>Admission (one time) = 60,000, monthly = 7500</t>
  </si>
  <si>
    <t>The SAAN Alumni ground is pretty good ig. Being an army school it has good reputation inside the country.</t>
  </si>
  <si>
    <t>Too strict, army discipline is must.</t>
  </si>
  <si>
    <t>neonfavor160@gmail.com</t>
  </si>
  <si>
    <t>Anything and everything, basically</t>
  </si>
  <si>
    <t>If you're not from army background, DO NOT COME HERE
I REPEAT DO NOT</t>
  </si>
  <si>
    <t>Sudikshya</t>
  </si>
  <si>
    <t>SANN</t>
  </si>
  <si>
    <t>Trinity</t>
  </si>
  <si>
    <t xml:space="preserve">Infrastructure is not great thought they are building a new one right across the street I don't have any high hopes. The fees are really affordable and I'm not sure about any kind of benefits I'll be getting from this high school. The management is what sucks the most. </t>
  </si>
  <si>
    <t xml:space="preserve">My older brother has already completed his high school studies from a different college. </t>
  </si>
  <si>
    <t xml:space="preserve">SANN does have really great teachers and if you're someone who doesn't care about factors like the infrastructure and all and just the teaching then its a great pick. We only have 1 break and that is our lunch break which oasts 30 min so it's quite draining to be sitting in the classroom all day long with only one break. The management on the other hand is really outrageous at times; they don't have a proper planning of things ahead of time and it somehiw doesn't matter to must of my fellow classmates but it's something I really want to be perfect. They are pretty strict with hair, nails etc policies. </t>
  </si>
  <si>
    <t xml:space="preserve">Nope </t>
  </si>
  <si>
    <t>The_goat</t>
  </si>
  <si>
    <t xml:space="preserve">Shree Shanti Namuna secondary school </t>
  </si>
  <si>
    <t xml:space="preserve">I would prefer KMC college </t>
  </si>
  <si>
    <t>18k with lab fee</t>
  </si>
  <si>
    <t xml:space="preserve">Infrastructure is somewhat satisfying but the quality of education in not worthy and it have no benefits to graduate from this college except its a public school </t>
  </si>
  <si>
    <t xml:space="preserve">Our college never focus on average student and they won't teach the topic clearly and only make us do questions that a frequently asked in exam </t>
  </si>
  <si>
    <t>Sara</t>
  </si>
  <si>
    <t>SOS Hermann Gmeiner School</t>
  </si>
  <si>
    <t>St xavier</t>
  </si>
  <si>
    <t>They have all that on a smaller scale</t>
  </si>
  <si>
    <t xml:space="preserve">Cost about 2 lakh peryear </t>
  </si>
  <si>
    <t>Name helps but no alumni network or university placements</t>
  </si>
  <si>
    <t>Does not provide much growth opportunities. Teachers are bad</t>
  </si>
  <si>
    <t>Find some place better. It's cheap if if that's what you're looking for.</t>
  </si>
  <si>
    <t xml:space="preserve">Suvash </t>
  </si>
  <si>
    <t xml:space="preserve">St Xavier college </t>
  </si>
  <si>
    <t xml:space="preserve">My college can be on  pretty 
expensive side but it offers with appropriate facilities and teaching experience </t>
  </si>
  <si>
    <t xml:space="preserve">I want to tell others taht you should try to be more frank with teachers and ask doubts without hesitation </t>
  </si>
  <si>
    <t>No there's not</t>
  </si>
  <si>
    <t>Milk carton</t>
  </si>
  <si>
    <t>St Xavier's College, Maitighar</t>
  </si>
  <si>
    <t>About 2.8 lakhs total for two years. No college buses available. The aforementioned amount is for tuition+lab and everything else. They charge you separately if you wanna attend ECAs.</t>
  </si>
  <si>
    <t>Our alumni have reached really every field possible tbh. It's not hard to find someone for help if you ask around.</t>
  </si>
  <si>
    <t>In my opinion, unlike other colleges, SXC really helps you learn more than just studying. The teachers don't really hand you any notes (except like two ig) so you kind of just learn how  to study by yourself. The fees are pretty affordable compared to some of the other colleges from what I've seen. There's a LOT of ECAs. There's like a new event every other week. Most aren't compulsory but I definitely recommend attending as many as possible.
The infrastructure did leave a lot to be desired before but they did renovate most of the classes after I graduated. And they're also rebuilding the Watrin hall as well so that is also great. However it is quite sad that most of the lawn as well as the basketball courts will be inaccessible for the time being. 
Talking about potential benefits, the teaching staff here is great and always willing to help. Never did I feel threatened or hesitated to ask for help when needed. The teachers are mostly great and the alumni network is also very strong so if you need any help you'd just have to ask around. There's also the fact that if you do utilize all of the facilities here, then you kind of just grow more as a person? Like a more confident version of yourself.</t>
  </si>
  <si>
    <t>milkcarton1237@gmail.com</t>
  </si>
  <si>
    <t>We had no uniforms. We do have a dresscode. A t-shirt with a collar or a shirt and pants. Or atleast you need something with a collar. During winters you could just wear a polo or whatever with a sweater, hoodie, jacket etc. Our uniforms were merely our ID cards. So if you forget your ID card (or if it is seized for late arrival or any other reason) you need an application the next day to get your ID back and enter the college with your bag. (To submit the application you leave the bag at the gate, only after you return with your ID can you take your bag). Other than that, ig they ask you to cut your hair sometime but they are NOT strict about it at all lol. I went 5-6 months without a haircut and wasn't told anything.</t>
  </si>
  <si>
    <t xml:space="preserve">When it comes to attendence, they do tell you to inform beforehand. Like atleast an email to the coordinator and the class teacher. However, whenever I was absent, I usually didn't do any of that. (not saying you shouldn't inform them, but they didn't reach out to say anything about it) So ig they're pretty lenient. 
The current principal also priorities the canteen a lot. If you ask other alumni from SXC you'll prolly get all types of answers. Some will be satisfied, some will not. But in my opinion the canteen is as good as it can get for a +2 college. There's prolly better out there (like inbuilt cafes and all) but I didn't really feel like our canteen was lacking something. The food was good, and they even give you these feedback forms for canteen which they surprisingly make changes accordingly depending on what the students want. Ofc they don't change everything but you do see changes. The first day at the canteen is brutal though. 
I would also like to say to anyone who's going to join SXC to please go in with a good attitude towards the college. There's yk rumours about how only studious, "padante moto chasma laune" toppers study here. Many come here expecting to have no fun or are already intimidated before even stepping foot into the college. None of that is true lol, atleast for me. Sure there are those who make studying their nom1 priority but those students exist everywhere. Just remember that you can make these years some of the worst years of your life or some of the best.
It all depends on you.
</t>
  </si>
  <si>
    <t>Not really actually. Now that I think about it, I have never really heard of bullying form my time at both SXJ or SXC. And the faculty at SXC is very chill. I didn't feel intiminated or like scared of any teacher. They're all very approachable.</t>
  </si>
  <si>
    <t>Yellowpinkpurple</t>
  </si>
  <si>
    <t>St Xaviers jawalakhel</t>
  </si>
  <si>
    <t>I really dont know st Xaviers college is shit they make you write your own notes</t>
  </si>
  <si>
    <t>I mean we have those kind of stuff but its not well maintained at all AT ALL 
The infrastructure looks similar but its just the lowest quality but I rated it 5 because i guess thats what you get at best in nepal our school is better than our respective sister schools/colleges inside valley some dont have playground some dont have cafeteria but we have it all but the worst of them would be the chemistry lab and any lab tbf</t>
  </si>
  <si>
    <t>Two years +2 science 2,15,000 i was told its the most cheapest but apparently it isnt plus you dont get discount like in other schools but idk if giving those kind of half scholarship is legal but we just have scholarship for people who cant afford tuition fee</t>
  </si>
  <si>
    <t xml:space="preserve">Very very overrated its very useless unless you are the most extroverted person talking with every goddamn person in the universe but well atleast club have nice sponsors thats it other than its very overrated and useless </t>
  </si>
  <si>
    <t xml:space="preserve">Teachers are meh meh everyone is forced to speak English so you can't really describe your problems regarding academic stuff but noone follows the rule everyone just talks in Nepali except with administration and yeah teachers cant expalin well and students cant ask well some SOME teacher's seem to have top top qualifications but they are meh maybe language barrier
VERY VERY OVERRATED but it was fun being there except you have to wake up early in the morning that thing really hampered me i hate it to guts you are just sleepy and depressed and all that cant focus SHII
We have TVS noone uses that thing plus sometimes fan dont even work
We were unlucky class but we had no Ethernet no fans and no tv just useless idk about other classes but its the same noone uses fans and tv
THE BUSS FEE AND CANTEEN FEE IS OFF THE CHARTS IT WILL SUCK YOU ALIVE I FORGOT THE FEES BUT DAMN ITS SHIT AND IF YOU WANT TO EAT FOOD LIKE RICE AND ALL THE FOODS TASTE IS ABSOLUTE GARBAGE but other normal menu that people who dont have subscription is meh more not so good meh and a bit expensive </t>
  </si>
  <si>
    <t>No dont join if you want to sleep good plus morning classes are overrated its shi it doesnt work idk why i am saying this here lol whatever have a great day whoevers reading this</t>
  </si>
  <si>
    <t>Discipline stuff veryy strict cant be found talking nepali hair style similar to army cut cant even forget a single stuff instantly notified to parents 
Cant forget id cards diary if you dont wear stuff accordingly like cant be seen not wearing blazers in the winter would be questioned and absent stuff and coming late</t>
  </si>
  <si>
    <t>I guess i Dont know anyother reputable place but i will love them to suffer lol</t>
  </si>
  <si>
    <t>I mean i really dont know our place is just overrated but i also havent seen any other places so i really dont know how its like hearing likes of prasadi kmc and all that its heaven i will say</t>
  </si>
  <si>
    <t xml:space="preserve">Apparently "people" take bribes for 1-10 admission and for +2 too and "donations" and all that but yeah i really dont know but they are very strict christians but who knows there are many cases of father in churches raping childrens(not our school i am just pointing out how religious people can be shit) yeah the thing is that </t>
  </si>
  <si>
    <t>Krinjal</t>
  </si>
  <si>
    <t>St. Xavier’s College</t>
  </si>
  <si>
    <t>Has a small space with no proper grounds</t>
  </si>
  <si>
    <t xml:space="preserve">The infrastructure could be better. The pricing seems okay compared to other schools. </t>
  </si>
  <si>
    <t>Get involved in school activities as much as possible</t>
  </si>
  <si>
    <t>nope</t>
  </si>
  <si>
    <t>Shristi Niroula</t>
  </si>
  <si>
    <t>St. Xavier's College, Maitighar</t>
  </si>
  <si>
    <t>Sainik Awasiya Mahavidhyalaya, Bhaktapur</t>
  </si>
  <si>
    <t>Comparatively the infrastructure are of old model. But I think the rennovation is ongoing. Still not bad.</t>
  </si>
  <si>
    <t>Around Rs. 16,000 monthly. Actually we pay in installments 3 installments in a year it means 4 months fees at a time.</t>
  </si>
  <si>
    <t>I particularly don't know about the uni placement or landing a internship. But yeah the alumni network it provides is wide. It actually helps you to figure out a lot of thing if you are willing. If you talk or try to connect to an alumni or even the teacher they help you genuinely. Also, you can utilize wide range of resource even after graduating (Libraries, Borrowing books, counselling, the basketball court, etc.). I guess you can also actively conduct your own research with the faculty. The staffs are responsive towards the queries through mail.</t>
  </si>
  <si>
    <t xml:space="preserve">The club activities and ECAs it provides are amazing. Amazing platform. Amazing teachers (except few). I think the opportunities are awesome like info about olympiads, national fairs or amazing STEM programs.(If you are proactive, you are gonna build something meaningful) This very statement is very common but what lacks is one need opportunities and the college provides one. </t>
  </si>
  <si>
    <t>shristiniroula67@gmail.com</t>
  </si>
  <si>
    <t>The punishments are directly affecting the practicals. Violation of code of conduct is the main reason.</t>
  </si>
  <si>
    <t>The college teaches you the things beyond the curriculum. You won't know it but gradually months after months you feel. So, the overall development is the priority. That's why we hear at SXC you have to study yourself kinda things. Actually it is not whole truth. Yeah, you have to put more effort yourself because the college won't harvest its time on your studies and make you rot. It's pretty lenient. You will grow. You will learn to cope up and you will learn to actually be social and adapt the environment. The college provides beyond the curriculum. But, you have to be very proactive.</t>
  </si>
  <si>
    <t>Abusing, other sorts of physical punishment are strictly denied by the college. ID sieze and application writing are very common. And I think for 3 times of ID sieze or something like that you lose a mark in a practical.So, if you are late, your hair is long, your dress code violates the code of college, you are found using mobile phones, and other violations results ID sieze or a direct fine according to the rules of the college.</t>
  </si>
  <si>
    <t xml:space="preserve">Pukar Bhattarai </t>
  </si>
  <si>
    <t xml:space="preserve">St. Xavier's School , Jawalakhel </t>
  </si>
  <si>
    <t>The infrastructure are pretty much same as given in the pictures above. In addition,the environment within the school premises is itself a plus point with its greenery.</t>
  </si>
  <si>
    <t>St. Xaviers School, through its association with the jesuit group, is well reputed and hence is considered highly by universities. Additionally, the school's alumni network is highly active, with programs and events hosted each year to connect past graduates with current batch of students.</t>
  </si>
  <si>
    <t>I have pretty much covered everything in previous responses. To summarise, St. Xavier's school is an infrastructurally and environmentally sound school with reasonable fee structure and amplitude of opportunities post graduation.</t>
  </si>
  <si>
    <t>Although no physical disciplinary actions are taken, students are punished through other means like detention, requirement of parental application confirming that they are aware of what their child has done or, in severe cases, suspension too. The students are punished generally for failing to maintain discipline, not maintaining proper hair and nails, damage of school property, academic incompetence and severe cases like bullying and fighting.</t>
  </si>
  <si>
    <t>Classmates are distut. But teachers can handle it.</t>
  </si>
  <si>
    <t>One part not discussed in the survey that might be relevant to it's objectives is regarding ECAs and CCAs. St. Xavier's school has plenty of such activities , both intra-school as well as inter-school, like sports week, annual play, talent show, friendlies and tournaments of various sports with other schools, quizzes, debates, speech competitions and so on. The school also conducts talkshows with various experts as part of its club activities. The school clubs are also involved in various community and social works.</t>
  </si>
  <si>
    <t>As far as I know, no such incidents relating to faculty abuse has occurred in the school as the school strictly adhers to its jesuit values.</t>
  </si>
  <si>
    <t>macchiato</t>
  </si>
  <si>
    <t>uniglobe</t>
  </si>
  <si>
    <t>na</t>
  </si>
  <si>
    <t xml:space="preserve">toilet stank + computers in the lab were shit + classrooms were small, claustrophobic + library was decent but only had course related books + the canteen gave prison vibes + barely any school grounds </t>
  </si>
  <si>
    <t>the tuition was 1.55 per year for me excluding exam fees</t>
  </si>
  <si>
    <t>i lowky dont see any potential benefits of graduating from this specific school or any other schools excluding st xaviers as their alumni program is actually well structured. sxj alumni btw</t>
  </si>
  <si>
    <t>uniglobe felt like more of a business than a school. didnt rlly get that student-teacher connection from the teachers. most of my friendships felt shallow but my og school friendships r still going strong. the fees n stuff were fine i just wanted to explore a new environment n went there. dont rlly regret it tho as it still was a decent school experience but just felt artificial imo</t>
  </si>
  <si>
    <t>milesmorales7747@gmail.com</t>
  </si>
  <si>
    <t>i lowky liked madhav sir (grade 12 ko di) 11 ko di was shit + pdf vibes. teachers haru vanda badi genuine connection ta madhav sir bata authyo like he actually cared about our future. he used to b annoying tara it was fun like toilet ko dhoka ma dang dang thoknu hunthyo short break ma pani bharda dhila vayesi chak ma padkaunu hunthyo lowky it was fun had some fun messing with him</t>
  </si>
  <si>
    <t>id want them to go sxj cus i lowky regret that sometimes</t>
  </si>
  <si>
    <t>1. the school is decent but just felt shallow to me
2. the teachers r good n answer ur qsns but other than teaching there was no other connection
3. school le deko model set + past qsn matra padhera jada hunxa most qsns r repeated or same type khalko. exam ko qsns r actually pretty easy like teti garo qsns hudaina if u just b consistent padhai ma din ko 1 hour + class ma concentrate 11 will flow in a breeze. 12 pani teti garo xaina most ppl r just exaggerating tyo exam gap 45 days something ma ni if u start studying u can in my opinion get good grades. 
4. idk about other people but most of my friendships felt shallow idk if its just me alienating people. ps to my bhai haru dont let ur hormones take control over u n pls jus dont do some cringy shit like emailing ur huzz lowky regretting some of dat shi</t>
  </si>
  <si>
    <t>11 ko starting ma the eca incharge ko dms got leaked where he was flirting with a student. dude got fired paxi n was seen npl ko stands ma lmao</t>
  </si>
  <si>
    <t>ssan</t>
  </si>
  <si>
    <t xml:space="preserve">GEMS, RBS, St Xaviers, </t>
  </si>
  <si>
    <t xml:space="preserve">overrated college, living in its past glory wiht a pseudo rivalry wiht KMC. It aint a rivalry KMC owns them every time </t>
  </si>
  <si>
    <t xml:space="preserve">2Lakh for 2 ytears on a scholarship </t>
  </si>
  <si>
    <t xml:space="preserve">Gaira hunxan Yale, Stanford form Letter of recommendation. Babbal power raixa </t>
  </si>
  <si>
    <t xml:space="preserve">Overrated ho lastaii, As I said living from its past glory ( past glory xaina tara idk why people glaze it). Benefit xa Letter of Recommendation ofc. Always lastai dherai jana bidesh janxa. </t>
  </si>
  <si>
    <t>No, dont join find better options.</t>
  </si>
  <si>
    <t xml:space="preserve">hair nails and if u step outside when its not berak time </t>
  </si>
  <si>
    <t xml:space="preserve">No, Its shit. the labs are some what awful in 12. Block A is their main focus for a reason. You visited only block A for a reason. </t>
  </si>
  <si>
    <t>Yep daily, You'll see when u queue up for classes</t>
  </si>
  <si>
    <t xml:space="preserve">khushi adhikari </t>
  </si>
  <si>
    <t xml:space="preserve">uniglobe </t>
  </si>
  <si>
    <t>none</t>
  </si>
  <si>
    <t>the infrastructures are okay but its old, mostly faulty and not well kept</t>
  </si>
  <si>
    <t xml:space="preserve">i don’t think i am getting any extraordinary benefits </t>
  </si>
  <si>
    <t>though the infrastructure is not on par with most colleges of same status, the extra curricular activities of uniglobe can definitely help more comparatively</t>
  </si>
  <si>
    <t xml:space="preserve">makeup, hair, uniform, behaviors, hygiene </t>
  </si>
  <si>
    <t>if someone’s joining uniglobe id tell them to socialize as much as they can, keep good relations with every single staff especially the ones that handles and manages events. this will help a lot.</t>
  </si>
  <si>
    <t>Grey</t>
  </si>
  <si>
    <t xml:space="preserve">Uniglobe </t>
  </si>
  <si>
    <t xml:space="preserve">Global </t>
  </si>
  <si>
    <t>Cramped and lack of such infra by a huge margin</t>
  </si>
  <si>
    <t>18 thousand</t>
  </si>
  <si>
    <t xml:space="preserve">Haven't seen any real alumni stuff or heard of anything them helping </t>
  </si>
  <si>
    <t xml:space="preserve">The main thing uniglobe lacks is area it's really cramped the fees are at par with kmc and other colleges but the same infra and facilities aren't there and I don't see any potential benefits to be honest 
Most teachers are good towards students but some are absolute idiots </t>
  </si>
  <si>
    <t>shivamzhaaa@gmail.com</t>
  </si>
  <si>
    <t>Hair and not paying attention repeatedly and sometimes just for the smallest reasons ever</t>
  </si>
  <si>
    <t>Uniglobe is completely different from what students hear from people before joining 
The school has good coordinators despite that</t>
  </si>
  <si>
    <t xml:space="preserve">Yes I have been verbally abused by a teacher over the slightest inconvenience and it was pretty traumatic </t>
  </si>
  <si>
    <t>Anuj khatri</t>
  </si>
  <si>
    <t xml:space="preserve">Uniglobe secondary school </t>
  </si>
  <si>
    <t>Kathmandu model secondary school (KMC)</t>
  </si>
  <si>
    <t xml:space="preserve">They need to work on better college management facilities </t>
  </si>
  <si>
    <t>DI punish because of Hair cuts for boys, hair colour for girls, not teaching on time.  Teachers punish for not completing homework, disturbance in class</t>
  </si>
  <si>
    <t>Don't fall for sugarcoated words that college admin say during college visit. Take private review from ex-students or seniors before joining.</t>
  </si>
  <si>
    <t xml:space="preserve">Anonymous </t>
  </si>
  <si>
    <t>V.S. Niketan College</t>
  </si>
  <si>
    <t>Trinity or Kmc</t>
  </si>
  <si>
    <t>The building is good but the canteen and washrooms are not hygienic enough.</t>
  </si>
  <si>
    <t xml:space="preserve">Yeah the teachers are friendly and they reach really well except some of the teachers the infrastructure is great location wise it's in the heart of Kathmandu(tinkune) but the canteen and washrooms is not just hygenic that's it </t>
  </si>
  <si>
    <t>Bunking classes ,bringing gadgets in  college premises long nails for girls and long hair for boys</t>
  </si>
  <si>
    <t xml:space="preserve">It's just the college management is weak there should have been weekly exams and students specifically from our of valley are undisciplined </t>
  </si>
  <si>
    <t>Yeah one teacher sexually harrassed a girl he was suspended but he was again hired and was given back his post after the girl passed out from college</t>
  </si>
  <si>
    <t>Do you want to help any student who might be joining your school/college? If applicable, please state a email, social media handle, etc.</t>
  </si>
  <si>
    <t>Do your teachers help with your doubts and questions?</t>
  </si>
  <si>
    <t>Does your school/college have a disciplinary in charge(DI), or anyone similar?</t>
  </si>
  <si>
    <t>If your school/college has a DI or Similar. Are you satisfied with them? Note: 5 means fully satisfied, no complaints.</t>
  </si>
  <si>
    <t>Do teachers usually engage in physical disciplinary practices? like slapping, physical force, etc.</t>
  </si>
  <si>
    <t>How well are you satisfied with the principle, coordinator, or other higher-ranked entities? Note: 5 represents the highest satisfaction.</t>
  </si>
  <si>
    <t>How Strict is the attendance policy? Note: strict assumes you will be punished.</t>
  </si>
  <si>
    <t>How hard is are exams, and how strictly are your exam papers graded? Note: 5 represents very hard and strict.</t>
  </si>
  <si>
    <t>How strict are policies surrounding: hair, nails, etc? Note: 5 represents extremely strict:</t>
  </si>
  <si>
    <t>How disturbing are your classmates, can teachers keep the class in control?</t>
  </si>
  <si>
    <t>Do teachers usually send accurate Model Sets, Past Papers, and Practice Questions before the exam? Note: 5 representing “Yes they do; and it's very helpful”.</t>
  </si>
  <si>
    <t>If you had a sibling, would you prefer them to study at your current school/college?</t>
  </si>
  <si>
    <t>Budanilkantha School</t>
  </si>
  <si>
    <t>Amazing resources, very competitive so pushes you to be better, plenty of clubs to explore your interests, good hostel environment overall</t>
  </si>
  <si>
    <t>The school is fine but there is a lot of bullying from seniors that needs to stop and teachers also turn a blind eye to it</t>
  </si>
  <si>
    <t>Subarna</t>
  </si>
  <si>
    <t>The infrastructure is quite good but is old</t>
  </si>
  <si>
    <t>J St Xaviers jawalakhel</t>
  </si>
  <si>
    <t>Very very overrated its very useless unless you are the most extroverted person talking with every goddamn person in the universe but well atleast club have nice sponsors thats it other than its very overrated and useless</t>
  </si>
  <si>
    <t>Teachers are meh meh everyone is forced to speak English so you can't really describe your problems regarding academic stuff but noone follows the rule everyone just talks in Nepali except with administration and yeah teachers cant expalin well and students cant ask well some SOME teacher's seem to have top top qualifications but they are meh maybe language barrier
VERY VERY OVERRATED but it was fun being there except you have to wake up early in the morning that thing really hampered me i hate it to guts you are just sleepy and depressed and all that cant focus SHII
We have TVS noone uses that thing plus sometimes fan dont even work
We were unlucky class but we had no Ethernet no fans and no tv just useless idk about other classes but its the same noone uses fans and tv
THE BUSS FEE AND CANTEEN FEE IS OFF THE CHARTS IT WILL SUCK YOU ALIVE I FORGOT THE FEES BUT DAMN ITS SHIT AND IF YOU WANT TO EAT FOOD LIKE RICE AND ALL THE FOODS TASTE IS ABSOLUTE GARBAGE but other normal menu that people who dont have subscription is meh more not so good meh and a bit expensive</t>
  </si>
  <si>
    <t>Apparently "people" take bribes for 1-10 admission and for +2 too and "donations" and all that but yeah i really dont know but they are very strict christians but who knows there are many cases of father in churches raping childrens(not our school i am just pointing out how religious people can be shit) yeah the thing is that</t>
  </si>
  <si>
    <t>Pukar Bhattarai</t>
  </si>
  <si>
    <t>J St. Xavier's School , Jawalakhel</t>
  </si>
  <si>
    <t>Too pricey according to the infrastructure and the college is really strict regarding hairstyle and some other rules which seems very unreasonable.</t>
  </si>
  <si>
    <t>Haircut</t>
  </si>
  <si>
    <t>Hairstyles, Not bringing books, going to washroom during free period between classes while no teacher is present,  etc. DI's also cut the student's hair in school itself by preventing them form going into class and cutting the hair in the parking area or in the ground.</t>
  </si>
  <si>
    <t>Just be prepared because the college is quite strict. They care a lot about things like hairstyle and appearance, sometimes more than necessary. DIs also come to check the washrooms from time to time, which honestly feels uncomfortable. I think the focus should be more on studies and giving students more opportunities in ECA and other activities. Other than that, the teachers are helpful if you're serious about your studies.</t>
  </si>
  <si>
    <t>its very expensive but for an avg student and steady income household its suitable.i got to met ppl from all over the world , some whogot scholarship for free and where from  unstable houshold, some forced by their dad, some i got to met ppl who i thought where not possible. like girl from goverment school who excels in english and science both. a boy from st xaiver school who fail in  3 subject. its different thing i never thought could be possible. helped me grow from my personal narrow mindset and explore my potential, ,my all-nighter helped me score good grades , which never thought was so possible, so kmc rrly helped alot academically. glad for the 2 yr but wont prob repeat it again</t>
  </si>
  <si>
    <t>to join kmc u must be ready for the grind</t>
  </si>
  <si>
    <t>I am very much satisfied with my current one</t>
  </si>
  <si>
    <t>Not maintaining discipline</t>
  </si>
  <si>
    <t>I don’t think so</t>
  </si>
  <si>
    <t>Suvash</t>
  </si>
  <si>
    <t>M  St Xavier college</t>
  </si>
  <si>
    <t>My college can be on  pretty 
expensive side but it offers with appropriate facilities and teaching experience</t>
  </si>
  <si>
    <t>I want to tell others taht you should try to be more frank with teachers and ask doubts without hesitation</t>
  </si>
  <si>
    <t>M St Xavier's College, Maitighar</t>
  </si>
  <si>
    <t>When it comes to attendence, they do tell you to inform beforehand. Like atleast an email to the coordinator and the class teacher. However, whenever I was absent, I usually didn't do any of that. (not saying you shouldn't inform them, but they didn't reach out to say anything about it) So ig they're pretty lenient. 
The current principal also priorities the canteen a lot. If you ask other alumni from SXC you'll prolly get all types of answers. Some will be satisfied, some will not. But in my opinion the canteen is as good as it can get for a +2 college. There's prolly better out there (like inbuilt cafes and all) but I didn't really feel like our canteen was lacking something. The food was good, and they even give you these feedback forms for canteen which they surprisingly make changes accordingly depending on what the students want. Ofc they don't change everything but you do see changes. The first day at the canteen is brutal though. 
I would also like to say to anyone who's going to join SXC to please go in with a good attitude towards the college. There's yk rumours about how only studious, "padante moto chasma laune" toppers study here. Many come here expecting to have no fun or are already intimidated before even stepping foot into the college. None of that is true lol, atleast for me. Sure there are those who make studying their nom1 priority but those students exist everywhere. Just remember that you can make these years some of the worst years of your life or some of the best.
It all depends on you.</t>
  </si>
  <si>
    <t>M St. Xavier’s College</t>
  </si>
  <si>
    <t>The infrastructure could be better. The pricing seems okay compared to other schools.</t>
  </si>
  <si>
    <t>M St. Xavier's College, Maitighar</t>
  </si>
  <si>
    <t>The club activities and ECAs it provides are amazing. Amazing platform. Amazing teachers (except few). I think the opportunities are awesome like info about olympiads, national fairs or amazing STEM programs.(If you are proactive, you are gonna build something meaningful) This very statement is very common but what lacks is one need opportunities and the college provides one.</t>
  </si>
  <si>
    <t>Infrastructure</t>
  </si>
  <si>
    <t>0ut of 10</t>
  </si>
  <si>
    <t>After school benefits</t>
  </si>
  <si>
    <t>out of 10</t>
  </si>
  <si>
    <t>School Environment</t>
  </si>
  <si>
    <t>out of 5</t>
  </si>
  <si>
    <t>Cost</t>
  </si>
  <si>
    <t>less is good</t>
  </si>
  <si>
    <t>toilet stank + computers in the lab were shit + classrooms were small, claustrophobic + library was decent but only had course related books + the canteen gave prison vibes + barely any school grounds</t>
  </si>
  <si>
    <t>GEMS, RBS, St Xaviers,</t>
  </si>
  <si>
    <t>overrated college, living in its past glory wiht a pseudo rivalry wiht KMC. It aint a rivalry KMC owns them every time</t>
  </si>
  <si>
    <t>2Lakh for 2 ytears on a scholarship</t>
  </si>
  <si>
    <t>Gaira hunxan Yale, Stanford form Letter of recommendation. Babbal power raixa</t>
  </si>
  <si>
    <t>Overrated ho lastaii, As I said living from its past glory ( past glory xaina tara idk why people glaze it). Benefit xa Letter of Recommendation ofc. Always lastai dherai jana bidesh janxa.</t>
  </si>
  <si>
    <t>hair nails and if u step outside when its not berak time</t>
  </si>
  <si>
    <t>No, Its shit. the labs are some what awful in 12. Block A is their main focus for a reason. You visited only block A for a reason.</t>
  </si>
  <si>
    <t>khushi adhikari</t>
  </si>
  <si>
    <t>i don’t think i am getting any extraordinary benefits</t>
  </si>
  <si>
    <t>makeup, hair, uniform, behaviors, hygiene</t>
  </si>
  <si>
    <t>Global</t>
  </si>
  <si>
    <t>Haven't seen any real alumni stuff or heard of anything them helping</t>
  </si>
  <si>
    <t>The main thing uniglobe lacks is area it's really cramped the fees are at par with kmc and other colleges but the same infra and facilities aren't there and I don't see any potential benefits to be honest 
Most teachers are good towards students but some are absolute idiots</t>
  </si>
  <si>
    <t>Yes I have been verbally abused by a teacher over the slightest inconvenience and it was pretty traumatic</t>
  </si>
  <si>
    <t>Uniglobe secondary school</t>
  </si>
  <si>
    <t>They need to work on better college management facilities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</si>
</sst>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d/yyyy\ h:mm:ss"/>
  </numFmts>
  <fonts count="25">
    <font>
      <sz val="10"/>
      <color rgb="FF000000"/>
      <name val="Arial"/>
      <charset val="134"/>
      <scheme val="minor"/>
    </font>
    <font>
      <sz val="10"/>
      <color theme="1"/>
      <name val="Roboto"/>
      <charset val="134"/>
    </font>
    <font>
      <sz val="10"/>
      <color rgb="FF434343"/>
      <name val="Roboto"/>
      <charset val="134"/>
    </font>
    <font>
      <sz val="10"/>
      <color theme="1"/>
      <name val="Arial"/>
      <charset val="134"/>
    </font>
    <font>
      <sz val="10"/>
      <color rgb="FF434343"/>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6">
    <fill>
      <patternFill patternType="none"/>
    </fill>
    <fill>
      <patternFill patternType="gray125"/>
    </fill>
    <fill>
      <patternFill patternType="solid">
        <fgColor rgb="FF5B3F86"/>
        <bgColor rgb="FF5B3F86"/>
      </patternFill>
    </fill>
    <fill>
      <patternFill patternType="solid">
        <fgColor rgb="FFF8F9FA"/>
        <bgColor rgb="FFF8F9FA"/>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rgb="FF5B3F86"/>
      </left>
      <right/>
      <top style="thin">
        <color rgb="FF5B3F86"/>
      </top>
      <bottom/>
      <diagonal/>
    </border>
    <border>
      <left/>
      <right/>
      <top style="thin">
        <color rgb="FF5B3F86"/>
      </top>
      <bottom/>
      <diagonal/>
    </border>
    <border>
      <left/>
      <right style="thin">
        <color rgb="FF5B3F86"/>
      </right>
      <top style="thin">
        <color rgb="FF5B3F86"/>
      </top>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177"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5" borderId="1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4" applyNumberFormat="0" applyFill="0" applyAlignment="0" applyProtection="0">
      <alignment vertical="center"/>
    </xf>
    <xf numFmtId="0" fontId="12" fillId="0" borderId="14" applyNumberFormat="0" applyFill="0" applyAlignment="0" applyProtection="0">
      <alignment vertical="center"/>
    </xf>
    <xf numFmtId="0" fontId="13" fillId="0" borderId="15" applyNumberFormat="0" applyFill="0" applyAlignment="0" applyProtection="0">
      <alignment vertical="center"/>
    </xf>
    <xf numFmtId="0" fontId="13" fillId="0" borderId="0" applyNumberFormat="0" applyFill="0" applyBorder="0" applyAlignment="0" applyProtection="0">
      <alignment vertical="center"/>
    </xf>
    <xf numFmtId="0" fontId="14" fillId="6" borderId="16" applyNumberFormat="0" applyAlignment="0" applyProtection="0">
      <alignment vertical="center"/>
    </xf>
    <xf numFmtId="0" fontId="15" fillId="7" borderId="17" applyNumberFormat="0" applyAlignment="0" applyProtection="0">
      <alignment vertical="center"/>
    </xf>
    <xf numFmtId="0" fontId="16" fillId="7" borderId="16" applyNumberFormat="0" applyAlignment="0" applyProtection="0">
      <alignment vertical="center"/>
    </xf>
    <xf numFmtId="0" fontId="17" fillId="8" borderId="18" applyNumberFormat="0" applyAlignment="0" applyProtection="0">
      <alignment vertical="center"/>
    </xf>
    <xf numFmtId="0" fontId="18" fillId="0" borderId="19" applyNumberFormat="0" applyFill="0" applyAlignment="0" applyProtection="0">
      <alignment vertical="center"/>
    </xf>
    <xf numFmtId="0" fontId="19" fillId="0" borderId="20"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41">
    <xf numFmtId="0" fontId="0" fillId="0" borderId="0" xfId="0" applyFont="1" applyAlignment="1"/>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178" fontId="2" fillId="3" borderId="4" xfId="0" applyNumberFormat="1" applyFont="1" applyFill="1" applyBorder="1" applyAlignment="1">
      <alignment horizontal="right" vertical="center"/>
    </xf>
    <xf numFmtId="0" fontId="2" fillId="3" borderId="5" xfId="0" applyFont="1" applyFill="1" applyBorder="1" applyAlignment="1">
      <alignment vertical="center"/>
    </xf>
    <xf numFmtId="0" fontId="3" fillId="3" borderId="5" xfId="0" applyFont="1" applyFill="1" applyBorder="1" applyAlignment="1">
      <alignment vertical="center"/>
    </xf>
    <xf numFmtId="0" fontId="2" fillId="3" borderId="5" xfId="0" applyFont="1" applyFill="1" applyBorder="1" applyAlignment="1">
      <alignment horizontal="right" vertical="center"/>
    </xf>
    <xf numFmtId="0" fontId="2" fillId="3" borderId="6" xfId="0" applyFont="1" applyFill="1" applyBorder="1" applyAlignment="1">
      <alignment vertical="center"/>
    </xf>
    <xf numFmtId="0" fontId="3" fillId="0" borderId="0" xfId="0" applyFont="1" applyAlignment="1"/>
    <xf numFmtId="178" fontId="2" fillId="4" borderId="7" xfId="0" applyNumberFormat="1" applyFont="1" applyFill="1" applyBorder="1" applyAlignment="1">
      <alignment horizontal="right" vertical="center"/>
    </xf>
    <xf numFmtId="0" fontId="2" fillId="4" borderId="8" xfId="0" applyFont="1" applyFill="1" applyBorder="1" applyAlignment="1">
      <alignment vertical="center"/>
    </xf>
    <xf numFmtId="0" fontId="2" fillId="4" borderId="8" xfId="0" applyFont="1" applyFill="1" applyBorder="1" applyAlignment="1">
      <alignment horizontal="right" vertical="center"/>
    </xf>
    <xf numFmtId="0" fontId="2" fillId="4" borderId="9" xfId="0" applyFont="1" applyFill="1" applyBorder="1" applyAlignment="1">
      <alignment vertical="center"/>
    </xf>
    <xf numFmtId="0" fontId="4" fillId="3" borderId="5" xfId="0" applyFont="1" applyFill="1" applyBorder="1" applyAlignment="1">
      <alignment vertical="center"/>
    </xf>
    <xf numFmtId="178" fontId="2" fillId="4" borderId="4" xfId="0" applyNumberFormat="1" applyFont="1" applyFill="1" applyBorder="1" applyAlignment="1">
      <alignment horizontal="right" vertical="center"/>
    </xf>
    <xf numFmtId="0" fontId="2" fillId="4" borderId="5" xfId="0" applyFont="1" applyFill="1" applyBorder="1" applyAlignment="1">
      <alignment vertical="center"/>
    </xf>
    <xf numFmtId="0" fontId="2" fillId="4" borderId="5" xfId="0" applyFont="1" applyFill="1" applyBorder="1" applyAlignment="1">
      <alignment horizontal="right" vertical="center"/>
    </xf>
    <xf numFmtId="178" fontId="2" fillId="3" borderId="7" xfId="0" applyNumberFormat="1" applyFont="1" applyFill="1" applyBorder="1" applyAlignment="1">
      <alignment horizontal="right" vertical="center"/>
    </xf>
    <xf numFmtId="0" fontId="2" fillId="3" borderId="8" xfId="0" applyFont="1" applyFill="1" applyBorder="1" applyAlignment="1">
      <alignment vertical="center"/>
    </xf>
    <xf numFmtId="0" fontId="2" fillId="3" borderId="8" xfId="0" applyFont="1" applyFill="1" applyBorder="1" applyAlignment="1">
      <alignment horizontal="right" vertical="center"/>
    </xf>
    <xf numFmtId="0" fontId="4" fillId="4" borderId="5" xfId="0" applyFont="1" applyFill="1" applyBorder="1" applyAlignment="1">
      <alignment vertical="center"/>
    </xf>
    <xf numFmtId="0" fontId="3" fillId="4" borderId="5" xfId="0" applyFont="1" applyFill="1" applyBorder="1" applyAlignment="1">
      <alignment vertical="center"/>
    </xf>
    <xf numFmtId="0" fontId="3" fillId="4" borderId="8" xfId="0" applyFont="1" applyFill="1" applyBorder="1" applyAlignment="1">
      <alignment vertical="center"/>
    </xf>
    <xf numFmtId="0" fontId="0" fillId="0" borderId="0" xfId="0" applyFont="1" applyFill="1" applyAlignment="1"/>
    <xf numFmtId="0" fontId="4" fillId="3" borderId="8" xfId="0" applyFont="1" applyFill="1" applyBorder="1" applyAlignment="1">
      <alignment vertical="center"/>
    </xf>
    <xf numFmtId="0" fontId="3" fillId="3" borderId="8" xfId="0" applyFont="1" applyFill="1" applyBorder="1" applyAlignment="1">
      <alignment vertical="center"/>
    </xf>
    <xf numFmtId="0" fontId="4" fillId="4" borderId="8" xfId="0" applyFont="1" applyFill="1" applyBorder="1" applyAlignment="1">
      <alignment vertical="center"/>
    </xf>
    <xf numFmtId="0" fontId="3" fillId="4" borderId="9" xfId="0" applyFont="1" applyFill="1" applyBorder="1" applyAlignment="1">
      <alignment vertical="center"/>
    </xf>
    <xf numFmtId="0" fontId="3" fillId="3" borderId="6" xfId="0" applyFont="1" applyFill="1" applyBorder="1" applyAlignment="1">
      <alignment vertical="center"/>
    </xf>
    <xf numFmtId="0" fontId="1" fillId="0" borderId="0" xfId="0" applyFont="1" applyAlignment="1">
      <alignment horizontal="left" vertical="center"/>
    </xf>
    <xf numFmtId="178" fontId="3" fillId="4" borderId="4" xfId="0" applyNumberFormat="1" applyFont="1" applyFill="1" applyBorder="1" applyAlignment="1">
      <alignment vertical="center"/>
    </xf>
    <xf numFmtId="178" fontId="3" fillId="3" borderId="7" xfId="0" applyNumberFormat="1" applyFont="1" applyFill="1" applyBorder="1" applyAlignment="1">
      <alignment vertical="center"/>
    </xf>
    <xf numFmtId="178" fontId="3" fillId="3" borderId="10" xfId="0" applyNumberFormat="1" applyFont="1" applyFill="1" applyBorder="1" applyAlignment="1">
      <alignment vertical="center"/>
    </xf>
    <xf numFmtId="0" fontId="3" fillId="3" borderId="11" xfId="0" applyFont="1" applyFill="1" applyBorder="1" applyAlignment="1">
      <alignment vertical="center"/>
    </xf>
    <xf numFmtId="0" fontId="3" fillId="4" borderId="9" xfId="0" applyFont="1" applyFill="1" applyBorder="1" applyAlignment="1"/>
    <xf numFmtId="0" fontId="3" fillId="3" borderId="6" xfId="0" applyFont="1" applyFill="1" applyBorder="1" applyAlignment="1"/>
    <xf numFmtId="178" fontId="2" fillId="3" borderId="10" xfId="0" applyNumberFormat="1" applyFont="1" applyFill="1" applyBorder="1" applyAlignment="1">
      <alignment horizontal="right" vertical="center"/>
    </xf>
    <xf numFmtId="0" fontId="2" fillId="3" borderId="11" xfId="0" applyFont="1" applyFill="1" applyBorder="1" applyAlignment="1">
      <alignment vertical="center"/>
    </xf>
    <xf numFmtId="0" fontId="2" fillId="3" borderId="11" xfId="0" applyFont="1" applyFill="1" applyBorder="1" applyAlignment="1">
      <alignment horizontal="right" vertical="center"/>
    </xf>
    <xf numFmtId="0" fontId="3" fillId="4" borderId="12" xfId="0" applyFont="1" applyFill="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70">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2">
    <tableStyle name="Sheet1-style" pivot="0" count="4" xr9:uid="{6CAD4B15-93BB-4474-9315-985090BE86DA}">
      <tableStyleElement type="wholeTable" dxfId="65"/>
      <tableStyleElement type="headerRow" dxfId="64"/>
      <tableStyleElement type="firstRowStripe" dxfId="63"/>
      <tableStyleElement type="secondRowStripe" dxfId="62"/>
    </tableStyle>
    <tableStyle name="Sheet3-style" pivot="0" count="4" xr9:uid="{69BCDE3F-308A-49C1-8189-880F1C6F7AA6}">
      <tableStyleElement type="wholeTable" dxfId="69"/>
      <tableStyleElement type="headerRow" dxfId="68"/>
      <tableStyleElement type="firstRowStripe" dxfId="67"/>
      <tableStyleElement type="secondRowStripe" dxfId="66"/>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1:AE39">
  <sortState ref="A1:AE39">
    <sortCondition ref="D2"/>
  </sortState>
  <tableColumns count="31">
    <tableColumn id="1" name="Timestamp" dataDxfId="0"/>
    <tableColumn id="2" name="What is your name? (you may use an alias)" dataDxfId="1"/>
    <tableColumn id="3" name="What's your gender?" dataDxfId="2"/>
    <tableColumn id="4" name="Which high school school / college are you from?" dataDxfId="3"/>
    <tableColumn id="5" name="Are you satisfied with your school/ college?" dataDxfId="4"/>
    <tableColumn id="6" name="If not, which school/ college do you prefer?" dataDxfId="5"/>
    <tableColumn id="7" name="What's your current grade?" dataDxfId="6"/>
    <tableColumn id="8" name="Rate the infrastructure in your school/ college from 1 to 10 comparing it with the pictures below. (the higher the better) [infrastructure include buildings, classrooms, labs, and library]&#10;&#10;Example: If the overall infrastructure is better than the pictures below, give a rating of 9-10." dataDxfId="7"/>
    <tableColumn id="9" name="Explain why you gave that particular rating. (1/2 sentence)&#10;If you don't want to answer mention NA m" dataDxfId="8"/>
    <tableColumn id="10" name="Rate the total cost of attending the school (tuition, hostel if applicable, other school fees) on a scale of 1-5" dataDxfId="9"/>
    <tableColumn id="11" name="Please mention the amount per month. (All costs including tuition, bus fees, exam fees, hostel fees, etc.)" dataDxfId="10"/>
    <tableColumn id="12" name="How do you rate the potential benefits after leaving the school/ college? (University placements, alumni network, connections while looking for internships, etc.)&#10;&#10;If you can get placements in universities, find internships easily, or can actively connect/ ask help with the alumni network, select 10" dataDxfId="11"/>
    <tableColumn id="13" name="Explain why you gave that particular rating. (1/2 sentence)&#10;If you don't want to answer mention NA" dataDxfId="12"/>
    <tableColumn id="14" name="Any additional things you want to say about your school's/ college's infrastructure, fees and pricing, and potential benefits after graduating?&#10;&#10;Please Note: : To verify originality, You must write at least a small and meaningful sentence here. Failure to do so may nullify the whole survey." dataDxfId="13"/>
    <tableColumn id="15" name="Do you want to help any student who might be joining your school/college? If applicable, please state a email, social media handle, etc. " dataDxfId="14"/>
    <tableColumn id="16" name="Please rate the effectiveness of the teaching style. Note: 5 being the best" dataDxfId="15"/>
    <tableColumn id="17" name="Do your teachers help with your doubts and questions? " dataDxfId="16"/>
    <tableColumn id="18" name="Does your school/college have a disciplinary in charge(DI), or anyone similar? " dataDxfId="17"/>
    <tableColumn id="19" name="If your school/college has a DI or Similar. Are you satisfied with them? Note: 5 means fully satisfied, no complaints. " dataDxfId="18"/>
    <tableColumn id="20" name="Do teachers usually engage in physical disciplinary practices? like slapping, physical force, etc. " dataDxfId="19"/>
    <tableColumn id="21" name="For what reasons do teachers and DI often punish students for? &#10;&#10;If students are not punished, mention NA." dataDxfId="20"/>
    <tableColumn id="22" name="How well are you satisfied with the principle, coordinator, or other higher-ranked entities? Note: 5 represents the highest satisfaction. " dataDxfId="21"/>
    <tableColumn id="23" name="How Strict is the attendance policy? Note: strict assumes you will be punished. " dataDxfId="22"/>
    <tableColumn id="24" name="How hard is are exams, and how strictly are your exam papers graded? Note: 5 represents very hard and strict. " dataDxfId="23"/>
    <tableColumn id="25" name="How strict are policies surrounding: hair, nails, etc? Note: 5 represents extremely strict: " dataDxfId="24"/>
    <tableColumn id="26" name="How disturbing are your classmates, can teachers keep the class in control? " dataDxfId="25"/>
    <tableColumn id="27" name="Do teachers usually send accurate Model Sets, Past Papers, and Practice Questions before the exam? Note: 5 representing “Yes they do; and it's very helpful”. " dataDxfId="26"/>
    <tableColumn id="28" name="If you had a sibling, would you prefer them to study at your current school/college? " dataDxfId="27"/>
    <tableColumn id="29" name="Did your current school/college meet your expectations, considering how you saw it during visits, feedback sessions, orientations etc.?" dataDxfId="28"/>
    <tableColumn id="30" name="Please discuss parts we have missed; or parts you'd like other students to know if they're joining your school/college. You can effectively discuss anything that's relevant, and this will be anonymous. &#10;&#10;Please Note: : To verify originality, You must write atleast a small and meaningful sentence here. Failure to do so may nulify the whole survey." dataDxfId="29"/>
    <tableColumn id="31" name="Are there any incidents of school/college faculty abuse you may have heard about? If so, could you please discuss in brief?" dataDxfId="30"/>
  </tableColumns>
  <tableStyleInfo name="Sheet1-style" showFirstColumn="1" showLastColumn="1" showRowStripes="1" showColumnStripes="0"/>
</table>
</file>

<file path=xl/tables/table2.xml><?xml version="1.0" encoding="utf-8"?>
<table xmlns="http://schemas.openxmlformats.org/spreadsheetml/2006/main" id="2" name="Table2" displayName="Table2" ref="A1:AE39">
  <tableColumns count="31">
    <tableColumn id="1" name="Timestamp" dataDxfId="31"/>
    <tableColumn id="2" name="What is your name? (you may use an alias)" dataDxfId="32"/>
    <tableColumn id="3" name="What's your gender?" dataDxfId="33"/>
    <tableColumn id="4" name="Which high school school / college are you from?" dataDxfId="34"/>
    <tableColumn id="5" name="Are you satisfied with your school/ college?" dataDxfId="35"/>
    <tableColumn id="6" name="If not, which school/ college do you prefer?" dataDxfId="36"/>
    <tableColumn id="7" name="What's your current grade?" dataDxfId="37"/>
    <tableColumn id="8" name="Rate the infrastructure in your school/ college from 1 to 10 comparing it with the pictures below. (the higher the better) [infrastructure include buildings, classrooms, labs, and library]&#10;&#10;Example: If the overall infrastructure is better than the pictures below, give a rating of 9-10." dataDxfId="38"/>
    <tableColumn id="9" name="Explain why you gave that particular rating. (1/2 sentence)&#10;If you don't want to answer mention NA m" dataDxfId="39"/>
    <tableColumn id="10" name="Rate the total cost of attending the school (tuition, hostel if applicable, other school fees) on a scale of 1-5" dataDxfId="40"/>
    <tableColumn id="11" name="Please mention the amount per month. (All costs including tuition, bus fees, exam fees, hostel fees, etc.)" dataDxfId="41"/>
    <tableColumn id="12" name="How do you rate the potential benefits after leaving the school/ college? (University placements, alumni network, connections while looking for internships, etc.)&#10;&#10;If you can get placements in universities, find internships easily, or can actively connect/ ask help with the alumni network, select 10" dataDxfId="42"/>
    <tableColumn id="13" name="Explain why you gave that particular rating. (1/2 sentence)&#10;If you don't want to answer mention NA" dataDxfId="43"/>
    <tableColumn id="14" name="Any additional things you want to say about your school's/ college's infrastructure, fees and pricing, and potential benefits after graduating?&#10;&#10;Please Note: : To verify originality, You must write at least a small and meaningful sentence here. Failure to do so may nullify the whole survey." dataDxfId="44"/>
    <tableColumn id="15" name="Do you want to help any student who might be joining your school/college? If applicable, please state a email, social media handle, etc." dataDxfId="45"/>
    <tableColumn id="16" name="Please rate the effectiveness of the teaching style. Note: 5 being the best" dataDxfId="46"/>
    <tableColumn id="17" name="Do your teachers help with your doubts and questions?" dataDxfId="47"/>
    <tableColumn id="18" name="Does your school/college have a disciplinary in charge(DI), or anyone similar?" dataDxfId="48"/>
    <tableColumn id="19" name="If your school/college has a DI or Similar. Are you satisfied with them? Note: 5 means fully satisfied, no complaints." dataDxfId="49"/>
    <tableColumn id="20" name="Do teachers usually engage in physical disciplinary practices? like slapping, physical force, etc." dataDxfId="50"/>
    <tableColumn id="21" name="For what reasons do teachers and DI often punish students for? &#10;&#10;If students are not punished, mention NA." dataDxfId="51"/>
    <tableColumn id="22" name="How well are you satisfied with the principle, coordinator, or other higher-ranked entities? Note: 5 represents the highest satisfaction." dataDxfId="52"/>
    <tableColumn id="23" name="How Strict is the attendance policy? Note: strict assumes you will be punished." dataDxfId="53"/>
    <tableColumn id="24" name="How hard is are exams, and how strictly are your exam papers graded? Note: 5 represents very hard and strict." dataDxfId="54"/>
    <tableColumn id="25" name="How strict are policies surrounding: hair, nails, etc? Note: 5 represents extremely strict:" dataDxfId="55"/>
    <tableColumn id="26" name="How disturbing are your classmates, can teachers keep the class in control?" dataDxfId="56"/>
    <tableColumn id="27" name="Do teachers usually send accurate Model Sets, Past Papers, and Practice Questions before the exam? Note: 5 representing “Yes they do; and it's very helpful”." dataDxfId="57"/>
    <tableColumn id="28" name="If you had a sibling, would you prefer them to study at your current school/college?" dataDxfId="58"/>
    <tableColumn id="29" name="Did your current school/college meet your expectations, considering how you saw it during visits, feedback sessions, orientations etc.?" dataDxfId="59"/>
    <tableColumn id="30" name="Please discuss parts we have missed; or parts you'd like other students to know if they're joining your school/college. You can effectively discuss anything that's relevant, and this will be anonymous. &#10;&#10;Please Note: : To verify originality, You must write atleast a small and meaningful sentence here. Failure to do so may nulify the whole survey." dataDxfId="60"/>
    <tableColumn id="31" name="Are there any incidents of school/college faculty abuse you may have heard about? If so, could you please discuss in brief?" dataDxfId="61"/>
  </tableColumns>
  <tableStyleInfo name="Sheet3-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K116"/>
  <sheetViews>
    <sheetView workbookViewId="0">
      <pane ySplit="1" topLeftCell="A8" activePane="bottomLeft" state="frozen"/>
      <selection/>
      <selection pane="bottomLeft" activeCell="A11" sqref="$A16:$XFD16 $A11:$XFD11"/>
    </sheetView>
  </sheetViews>
  <sheetFormatPr defaultColWidth="12.6296296296296" defaultRowHeight="15.75" customHeight="1"/>
  <cols>
    <col min="4" max="4" width="26.7777777777778" customWidth="1"/>
  </cols>
  <sheetData>
    <row r="1" ht="22.5" customHeight="1" spans="1:37">
      <c r="A1" s="30" t="s">
        <v>0</v>
      </c>
      <c r="B1" s="30" t="s">
        <v>1</v>
      </c>
      <c r="C1" s="30" t="s">
        <v>2</v>
      </c>
      <c r="D1" s="30" t="s">
        <v>3</v>
      </c>
      <c r="E1" s="30" t="s">
        <v>4</v>
      </c>
      <c r="F1" s="30" t="s">
        <v>5</v>
      </c>
      <c r="G1" s="30" t="s">
        <v>6</v>
      </c>
      <c r="H1" s="30" t="s">
        <v>7</v>
      </c>
      <c r="I1" s="30" t="s">
        <v>8</v>
      </c>
      <c r="J1" s="30" t="s">
        <v>9</v>
      </c>
      <c r="K1" s="30" t="s">
        <v>10</v>
      </c>
      <c r="L1" s="30" t="s">
        <v>11</v>
      </c>
      <c r="M1" s="30" t="s">
        <v>12</v>
      </c>
      <c r="N1" s="30" t="s">
        <v>13</v>
      </c>
      <c r="O1" s="30" t="s">
        <v>14</v>
      </c>
      <c r="P1" s="30" t="s">
        <v>15</v>
      </c>
      <c r="Q1" s="30" t="s">
        <v>16</v>
      </c>
      <c r="R1" s="30" t="s">
        <v>17</v>
      </c>
      <c r="S1" s="30" t="s">
        <v>18</v>
      </c>
      <c r="T1" s="30" t="s">
        <v>19</v>
      </c>
      <c r="U1" s="30" t="s">
        <v>20</v>
      </c>
      <c r="V1" s="30" t="s">
        <v>21</v>
      </c>
      <c r="W1" s="30" t="s">
        <v>22</v>
      </c>
      <c r="X1" s="30" t="s">
        <v>23</v>
      </c>
      <c r="Y1" s="30" t="s">
        <v>24</v>
      </c>
      <c r="Z1" s="30" t="s">
        <v>25</v>
      </c>
      <c r="AA1" s="30" t="s">
        <v>26</v>
      </c>
      <c r="AB1" s="30" t="s">
        <v>27</v>
      </c>
      <c r="AC1" s="30" t="s">
        <v>28</v>
      </c>
      <c r="AD1" s="30" t="s">
        <v>29</v>
      </c>
      <c r="AE1" s="30" t="s">
        <v>30</v>
      </c>
      <c r="AF1" s="9"/>
      <c r="AG1" s="9"/>
      <c r="AH1" s="9"/>
      <c r="AI1" s="9"/>
      <c r="AJ1" s="9"/>
      <c r="AK1" s="9"/>
    </row>
    <row r="2" ht="22.5" customHeight="1" spans="1:37">
      <c r="A2" s="10">
        <v>46196.8754701389</v>
      </c>
      <c r="B2" s="11" t="s">
        <v>31</v>
      </c>
      <c r="C2" s="11" t="s">
        <v>32</v>
      </c>
      <c r="D2" s="11" t="s">
        <v>33</v>
      </c>
      <c r="E2" s="11" t="s">
        <v>34</v>
      </c>
      <c r="F2" s="11" t="s">
        <v>35</v>
      </c>
      <c r="G2" s="11" t="s">
        <v>36</v>
      </c>
      <c r="H2" s="12">
        <v>8</v>
      </c>
      <c r="I2" s="11" t="s">
        <v>37</v>
      </c>
      <c r="J2" s="12">
        <v>3</v>
      </c>
      <c r="K2" s="11" t="s">
        <v>38</v>
      </c>
      <c r="L2" s="12">
        <v>7</v>
      </c>
      <c r="M2" s="11" t="s">
        <v>39</v>
      </c>
      <c r="N2" s="11" t="s">
        <v>40</v>
      </c>
      <c r="O2" s="11" t="s">
        <v>41</v>
      </c>
      <c r="P2" s="12">
        <v>3</v>
      </c>
      <c r="Q2" s="11" t="s">
        <v>42</v>
      </c>
      <c r="R2" s="11" t="s">
        <v>34</v>
      </c>
      <c r="S2" s="12">
        <v>3</v>
      </c>
      <c r="T2" s="11" t="s">
        <v>43</v>
      </c>
      <c r="U2" s="11" t="s">
        <v>44</v>
      </c>
      <c r="V2" s="12">
        <v>4</v>
      </c>
      <c r="W2" s="11" t="s">
        <v>45</v>
      </c>
      <c r="X2" s="12">
        <v>4</v>
      </c>
      <c r="Y2" s="12">
        <v>4</v>
      </c>
      <c r="Z2" s="11" t="s">
        <v>46</v>
      </c>
      <c r="AA2" s="12">
        <v>3</v>
      </c>
      <c r="AB2" s="11" t="s">
        <v>34</v>
      </c>
      <c r="AC2" s="11" t="s">
        <v>34</v>
      </c>
      <c r="AD2" s="11" t="s">
        <v>47</v>
      </c>
      <c r="AE2" s="13" t="s">
        <v>48</v>
      </c>
      <c r="AF2" s="9"/>
      <c r="AG2" s="9"/>
      <c r="AH2" s="9"/>
      <c r="AI2" s="9"/>
      <c r="AJ2" s="9"/>
      <c r="AK2" s="9"/>
    </row>
    <row r="3" ht="22.5" customHeight="1" spans="1:37">
      <c r="A3" s="4">
        <v>46194.6750348727</v>
      </c>
      <c r="B3" s="5" t="s">
        <v>49</v>
      </c>
      <c r="C3" s="6"/>
      <c r="D3" s="5" t="s">
        <v>50</v>
      </c>
      <c r="E3" s="5" t="s">
        <v>34</v>
      </c>
      <c r="F3" s="5" t="s">
        <v>51</v>
      </c>
      <c r="G3" s="5" t="s">
        <v>52</v>
      </c>
      <c r="H3" s="7">
        <v>7</v>
      </c>
      <c r="I3" s="5" t="s">
        <v>53</v>
      </c>
      <c r="J3" s="7">
        <v>6</v>
      </c>
      <c r="K3" s="6"/>
      <c r="L3" s="7">
        <v>7</v>
      </c>
      <c r="M3" s="5" t="s">
        <v>54</v>
      </c>
      <c r="N3" s="5" t="s">
        <v>55</v>
      </c>
      <c r="O3" s="6"/>
      <c r="P3" s="7">
        <v>4</v>
      </c>
      <c r="Q3" s="5" t="s">
        <v>56</v>
      </c>
      <c r="R3" s="5" t="s">
        <v>57</v>
      </c>
      <c r="S3" s="7">
        <v>4</v>
      </c>
      <c r="T3" s="5" t="s">
        <v>58</v>
      </c>
      <c r="U3" s="5" t="s">
        <v>59</v>
      </c>
      <c r="V3" s="7">
        <v>4</v>
      </c>
      <c r="W3" s="5" t="s">
        <v>45</v>
      </c>
      <c r="X3" s="7">
        <v>5</v>
      </c>
      <c r="Y3" s="7">
        <v>4</v>
      </c>
      <c r="Z3" s="5" t="s">
        <v>60</v>
      </c>
      <c r="AA3" s="7">
        <v>4</v>
      </c>
      <c r="AB3" s="5" t="s">
        <v>34</v>
      </c>
      <c r="AC3" s="5" t="s">
        <v>34</v>
      </c>
      <c r="AD3" s="5" t="s">
        <v>61</v>
      </c>
      <c r="AE3" s="29"/>
      <c r="AF3" s="9"/>
      <c r="AG3" s="9"/>
      <c r="AH3" s="9"/>
      <c r="AI3" s="9"/>
      <c r="AJ3" s="9"/>
      <c r="AK3" s="9"/>
    </row>
    <row r="4" ht="22.5" customHeight="1" spans="1:37">
      <c r="A4" s="10">
        <v>46194.8328403356</v>
      </c>
      <c r="B4" s="11" t="s">
        <v>62</v>
      </c>
      <c r="C4" s="11" t="s">
        <v>63</v>
      </c>
      <c r="D4" s="11" t="s">
        <v>64</v>
      </c>
      <c r="E4" s="11" t="s">
        <v>34</v>
      </c>
      <c r="F4" s="11" t="s">
        <v>65</v>
      </c>
      <c r="G4" s="11" t="s">
        <v>52</v>
      </c>
      <c r="H4" s="12">
        <v>9</v>
      </c>
      <c r="I4" s="11" t="s">
        <v>66</v>
      </c>
      <c r="J4" s="12">
        <v>8</v>
      </c>
      <c r="K4" s="12">
        <v>35000</v>
      </c>
      <c r="L4" s="12">
        <v>9</v>
      </c>
      <c r="M4" s="11" t="s">
        <v>67</v>
      </c>
      <c r="N4" s="11" t="s">
        <v>68</v>
      </c>
      <c r="O4" s="23"/>
      <c r="P4" s="12">
        <v>3</v>
      </c>
      <c r="Q4" s="11" t="s">
        <v>69</v>
      </c>
      <c r="R4" s="11" t="s">
        <v>57</v>
      </c>
      <c r="S4" s="12">
        <v>5</v>
      </c>
      <c r="T4" s="11" t="s">
        <v>43</v>
      </c>
      <c r="U4" s="11" t="s">
        <v>70</v>
      </c>
      <c r="V4" s="12">
        <v>5</v>
      </c>
      <c r="W4" s="11" t="s">
        <v>71</v>
      </c>
      <c r="X4" s="12">
        <v>3</v>
      </c>
      <c r="Y4" s="12">
        <v>2</v>
      </c>
      <c r="Z4" s="11" t="s">
        <v>60</v>
      </c>
      <c r="AA4" s="12">
        <v>3</v>
      </c>
      <c r="AB4" s="11" t="s">
        <v>34</v>
      </c>
      <c r="AC4" s="11" t="s">
        <v>34</v>
      </c>
      <c r="AD4" s="11" t="s">
        <v>72</v>
      </c>
      <c r="AE4" s="28"/>
      <c r="AF4" s="9"/>
      <c r="AG4" s="9"/>
      <c r="AH4" s="9"/>
      <c r="AI4" s="9"/>
      <c r="AJ4" s="9"/>
      <c r="AK4" s="9"/>
    </row>
    <row r="5" ht="22.5" customHeight="1" spans="1:37">
      <c r="A5" s="4">
        <v>46194.7485617361</v>
      </c>
      <c r="B5" s="5" t="s">
        <v>73</v>
      </c>
      <c r="C5" s="6"/>
      <c r="D5" s="5" t="s">
        <v>74</v>
      </c>
      <c r="E5" s="5" t="s">
        <v>34</v>
      </c>
      <c r="F5" s="5" t="s">
        <v>75</v>
      </c>
      <c r="G5" s="5" t="s">
        <v>36</v>
      </c>
      <c r="H5" s="7">
        <v>7</v>
      </c>
      <c r="I5" s="5" t="s">
        <v>76</v>
      </c>
      <c r="J5" s="7">
        <v>3</v>
      </c>
      <c r="K5" s="6"/>
      <c r="L5" s="7">
        <v>6</v>
      </c>
      <c r="M5" s="5" t="s">
        <v>77</v>
      </c>
      <c r="N5" s="5" t="s">
        <v>78</v>
      </c>
      <c r="O5" s="6"/>
      <c r="P5" s="7">
        <v>4</v>
      </c>
      <c r="Q5" s="5" t="s">
        <v>69</v>
      </c>
      <c r="R5" s="5" t="s">
        <v>57</v>
      </c>
      <c r="S5" s="7">
        <v>5</v>
      </c>
      <c r="T5" s="5" t="s">
        <v>43</v>
      </c>
      <c r="U5" s="5" t="s">
        <v>79</v>
      </c>
      <c r="V5" s="7">
        <v>4</v>
      </c>
      <c r="W5" s="5" t="s">
        <v>45</v>
      </c>
      <c r="X5" s="7">
        <v>4</v>
      </c>
      <c r="Y5" s="7">
        <v>4</v>
      </c>
      <c r="Z5" s="5" t="s">
        <v>60</v>
      </c>
      <c r="AA5" s="7">
        <v>5</v>
      </c>
      <c r="AB5" s="5" t="s">
        <v>34</v>
      </c>
      <c r="AC5" s="5" t="s">
        <v>34</v>
      </c>
      <c r="AD5" s="5" t="s">
        <v>80</v>
      </c>
      <c r="AE5" s="8" t="s">
        <v>81</v>
      </c>
      <c r="AF5" s="9"/>
      <c r="AG5" s="9"/>
      <c r="AH5" s="9"/>
      <c r="AI5" s="9"/>
      <c r="AJ5" s="9"/>
      <c r="AK5" s="9"/>
    </row>
    <row r="6" ht="22.5" customHeight="1" spans="1:37">
      <c r="A6" s="10">
        <v>46194.7281856597</v>
      </c>
      <c r="B6" s="11" t="s">
        <v>82</v>
      </c>
      <c r="C6" s="23"/>
      <c r="D6" s="11" t="s">
        <v>83</v>
      </c>
      <c r="E6" s="11" t="s">
        <v>34</v>
      </c>
      <c r="F6" s="11" t="s">
        <v>79</v>
      </c>
      <c r="G6" s="11" t="s">
        <v>52</v>
      </c>
      <c r="H6" s="12">
        <v>10</v>
      </c>
      <c r="I6" s="11" t="s">
        <v>84</v>
      </c>
      <c r="J6" s="12">
        <v>3</v>
      </c>
      <c r="K6" s="23"/>
      <c r="L6" s="12">
        <v>10</v>
      </c>
      <c r="M6" s="11" t="s">
        <v>85</v>
      </c>
      <c r="N6" s="11" t="s">
        <v>86</v>
      </c>
      <c r="O6" s="23"/>
      <c r="P6" s="12">
        <v>5</v>
      </c>
      <c r="Q6" s="11" t="s">
        <v>42</v>
      </c>
      <c r="R6" s="11" t="s">
        <v>34</v>
      </c>
      <c r="S6" s="12">
        <v>4</v>
      </c>
      <c r="T6" s="11" t="s">
        <v>43</v>
      </c>
      <c r="U6" s="11" t="s">
        <v>87</v>
      </c>
      <c r="V6" s="12">
        <v>5</v>
      </c>
      <c r="W6" s="11" t="s">
        <v>45</v>
      </c>
      <c r="X6" s="12">
        <v>3</v>
      </c>
      <c r="Y6" s="12">
        <v>3</v>
      </c>
      <c r="Z6" s="11" t="s">
        <v>46</v>
      </c>
      <c r="AA6" s="12">
        <v>5</v>
      </c>
      <c r="AB6" s="11" t="s">
        <v>57</v>
      </c>
      <c r="AC6" s="11" t="s">
        <v>34</v>
      </c>
      <c r="AD6" s="11" t="s">
        <v>88</v>
      </c>
      <c r="AE6" s="13" t="s">
        <v>79</v>
      </c>
      <c r="AF6" s="9"/>
      <c r="AG6" s="9"/>
      <c r="AH6" s="9"/>
      <c r="AI6" s="9"/>
      <c r="AJ6" s="9"/>
      <c r="AK6" s="9"/>
    </row>
    <row r="7" ht="22.5" customHeight="1" spans="1:37">
      <c r="A7" s="4">
        <v>46196.4687163079</v>
      </c>
      <c r="B7" s="5" t="s">
        <v>89</v>
      </c>
      <c r="C7" s="5" t="s">
        <v>32</v>
      </c>
      <c r="D7" s="5" t="s">
        <v>90</v>
      </c>
      <c r="E7" s="5" t="s">
        <v>57</v>
      </c>
      <c r="F7" s="5" t="s">
        <v>91</v>
      </c>
      <c r="G7" s="5" t="s">
        <v>52</v>
      </c>
      <c r="H7" s="7">
        <v>4</v>
      </c>
      <c r="I7" s="5" t="s">
        <v>92</v>
      </c>
      <c r="J7" s="7">
        <v>4</v>
      </c>
      <c r="K7" s="7">
        <v>6000</v>
      </c>
      <c r="L7" s="7">
        <v>3</v>
      </c>
      <c r="M7" s="5" t="s">
        <v>93</v>
      </c>
      <c r="N7" s="5" t="s">
        <v>94</v>
      </c>
      <c r="O7" s="5" t="s">
        <v>95</v>
      </c>
      <c r="P7" s="7">
        <v>2</v>
      </c>
      <c r="Q7" s="5" t="s">
        <v>69</v>
      </c>
      <c r="R7" s="5" t="s">
        <v>34</v>
      </c>
      <c r="S7" s="7">
        <v>2</v>
      </c>
      <c r="T7" s="5" t="s">
        <v>96</v>
      </c>
      <c r="U7" s="5" t="s">
        <v>93</v>
      </c>
      <c r="V7" s="7">
        <v>2</v>
      </c>
      <c r="W7" s="5" t="s">
        <v>45</v>
      </c>
      <c r="X7" s="7">
        <v>3</v>
      </c>
      <c r="Y7" s="7">
        <v>2</v>
      </c>
      <c r="Z7" s="5" t="s">
        <v>60</v>
      </c>
      <c r="AA7" s="7">
        <v>3</v>
      </c>
      <c r="AB7" s="5" t="s">
        <v>57</v>
      </c>
      <c r="AC7" s="5" t="s">
        <v>57</v>
      </c>
      <c r="AD7" s="5" t="s">
        <v>97</v>
      </c>
      <c r="AE7" s="8" t="s">
        <v>98</v>
      </c>
      <c r="AF7" s="9"/>
      <c r="AG7" s="9"/>
      <c r="AH7" s="9"/>
      <c r="AI7" s="9"/>
      <c r="AJ7" s="9"/>
      <c r="AK7" s="9"/>
    </row>
    <row r="8" ht="22.5" customHeight="1" spans="1:37">
      <c r="A8" s="10">
        <v>46194.8145532755</v>
      </c>
      <c r="B8" s="11" t="s">
        <v>99</v>
      </c>
      <c r="C8" s="11" t="s">
        <v>32</v>
      </c>
      <c r="D8" s="11" t="s">
        <v>100</v>
      </c>
      <c r="E8" s="11" t="s">
        <v>57</v>
      </c>
      <c r="F8" s="11" t="s">
        <v>51</v>
      </c>
      <c r="G8" s="11" t="s">
        <v>52</v>
      </c>
      <c r="H8" s="12">
        <v>7</v>
      </c>
      <c r="I8" s="11" t="s">
        <v>93</v>
      </c>
      <c r="J8" s="12">
        <v>6</v>
      </c>
      <c r="K8" s="11" t="s">
        <v>101</v>
      </c>
      <c r="L8" s="12">
        <v>2</v>
      </c>
      <c r="M8" s="11" t="s">
        <v>93</v>
      </c>
      <c r="N8" s="11" t="s">
        <v>102</v>
      </c>
      <c r="O8" s="23"/>
      <c r="P8" s="12">
        <v>3</v>
      </c>
      <c r="Q8" s="11" t="s">
        <v>42</v>
      </c>
      <c r="R8" s="11" t="s">
        <v>57</v>
      </c>
      <c r="S8" s="12">
        <v>1</v>
      </c>
      <c r="T8" s="11" t="s">
        <v>58</v>
      </c>
      <c r="U8" s="11" t="s">
        <v>93</v>
      </c>
      <c r="V8" s="12">
        <v>3</v>
      </c>
      <c r="W8" s="11" t="s">
        <v>45</v>
      </c>
      <c r="X8" s="12">
        <v>3</v>
      </c>
      <c r="Y8" s="12">
        <v>3</v>
      </c>
      <c r="Z8" s="11" t="s">
        <v>103</v>
      </c>
      <c r="AA8" s="12">
        <v>3</v>
      </c>
      <c r="AB8" s="11" t="s">
        <v>57</v>
      </c>
      <c r="AC8" s="11" t="s">
        <v>57</v>
      </c>
      <c r="AD8" s="11" t="s">
        <v>104</v>
      </c>
      <c r="AE8" s="28"/>
      <c r="AF8" s="9"/>
      <c r="AG8" s="9"/>
      <c r="AH8" s="9"/>
      <c r="AI8" s="9"/>
      <c r="AJ8" s="9"/>
      <c r="AK8" s="9"/>
    </row>
    <row r="9" ht="22.5" customHeight="1" spans="1:37">
      <c r="A9" s="4">
        <v>46196.576363588</v>
      </c>
      <c r="B9" s="5" t="s">
        <v>105</v>
      </c>
      <c r="C9" s="5" t="s">
        <v>32</v>
      </c>
      <c r="D9" s="5" t="s">
        <v>106</v>
      </c>
      <c r="E9" s="5" t="s">
        <v>34</v>
      </c>
      <c r="F9" s="5" t="s">
        <v>107</v>
      </c>
      <c r="G9" s="5" t="s">
        <v>52</v>
      </c>
      <c r="H9" s="7">
        <v>8</v>
      </c>
      <c r="I9" s="5" t="s">
        <v>108</v>
      </c>
      <c r="J9" s="7">
        <v>3</v>
      </c>
      <c r="K9" s="5" t="s">
        <v>109</v>
      </c>
      <c r="L9" s="7">
        <v>5</v>
      </c>
      <c r="M9" s="5" t="s">
        <v>110</v>
      </c>
      <c r="N9" s="5" t="s">
        <v>111</v>
      </c>
      <c r="O9" s="6"/>
      <c r="P9" s="7">
        <v>4</v>
      </c>
      <c r="Q9" s="5" t="s">
        <v>69</v>
      </c>
      <c r="R9" s="5" t="s">
        <v>34</v>
      </c>
      <c r="S9" s="7">
        <v>4</v>
      </c>
      <c r="T9" s="5" t="s">
        <v>112</v>
      </c>
      <c r="U9" s="5" t="s">
        <v>113</v>
      </c>
      <c r="V9" s="7">
        <v>4</v>
      </c>
      <c r="W9" s="5" t="s">
        <v>114</v>
      </c>
      <c r="X9" s="7">
        <v>4</v>
      </c>
      <c r="Y9" s="7">
        <v>5</v>
      </c>
      <c r="Z9" s="5" t="s">
        <v>60</v>
      </c>
      <c r="AA9" s="7">
        <v>4</v>
      </c>
      <c r="AB9" s="5" t="s">
        <v>115</v>
      </c>
      <c r="AC9" s="5" t="s">
        <v>34</v>
      </c>
      <c r="AD9" s="5" t="s">
        <v>116</v>
      </c>
      <c r="AE9" s="8" t="s">
        <v>117</v>
      </c>
      <c r="AF9" s="9"/>
      <c r="AG9" s="9"/>
      <c r="AH9" s="9"/>
      <c r="AI9" s="9"/>
      <c r="AJ9" s="9"/>
      <c r="AK9" s="9"/>
    </row>
    <row r="10" ht="22.5" customHeight="1" spans="1:37">
      <c r="A10" s="10">
        <v>46194.8041221181</v>
      </c>
      <c r="B10" s="11" t="s">
        <v>118</v>
      </c>
      <c r="C10" s="11" t="s">
        <v>63</v>
      </c>
      <c r="D10" s="11" t="s">
        <v>119</v>
      </c>
      <c r="E10" s="11" t="s">
        <v>120</v>
      </c>
      <c r="F10" s="11" t="s">
        <v>121</v>
      </c>
      <c r="G10" s="11" t="s">
        <v>36</v>
      </c>
      <c r="H10" s="12">
        <v>5</v>
      </c>
      <c r="I10" s="11" t="s">
        <v>93</v>
      </c>
      <c r="J10" s="11" t="s">
        <v>122</v>
      </c>
      <c r="K10" s="23"/>
      <c r="L10" s="12">
        <v>7</v>
      </c>
      <c r="M10" s="11" t="s">
        <v>93</v>
      </c>
      <c r="N10" s="11" t="s">
        <v>123</v>
      </c>
      <c r="O10" s="23"/>
      <c r="P10" s="12">
        <v>4</v>
      </c>
      <c r="Q10" s="11" t="s">
        <v>69</v>
      </c>
      <c r="R10" s="11" t="s">
        <v>34</v>
      </c>
      <c r="S10" s="12">
        <v>3</v>
      </c>
      <c r="T10" s="11" t="s">
        <v>96</v>
      </c>
      <c r="U10" s="11" t="s">
        <v>124</v>
      </c>
      <c r="V10" s="12">
        <v>3</v>
      </c>
      <c r="W10" s="11" t="s">
        <v>125</v>
      </c>
      <c r="X10" s="12">
        <v>4</v>
      </c>
      <c r="Y10" s="12">
        <v>4</v>
      </c>
      <c r="Z10" s="11" t="s">
        <v>60</v>
      </c>
      <c r="AA10" s="12">
        <v>3</v>
      </c>
      <c r="AB10" s="11" t="s">
        <v>57</v>
      </c>
      <c r="AC10" s="11" t="s">
        <v>57</v>
      </c>
      <c r="AD10" s="11" t="s">
        <v>126</v>
      </c>
      <c r="AE10" s="13" t="s">
        <v>127</v>
      </c>
      <c r="AF10" s="9"/>
      <c r="AG10" s="9"/>
      <c r="AH10" s="9"/>
      <c r="AI10" s="9"/>
      <c r="AJ10" s="9"/>
      <c r="AK10" s="9"/>
    </row>
    <row r="11" ht="22.5" customHeight="1" spans="1:37">
      <c r="A11" s="4">
        <v>46194.679124456</v>
      </c>
      <c r="B11" s="5" t="s">
        <v>93</v>
      </c>
      <c r="C11" s="6"/>
      <c r="D11" s="5" t="s">
        <v>128</v>
      </c>
      <c r="E11" s="5" t="s">
        <v>120</v>
      </c>
      <c r="F11" s="5" t="s">
        <v>129</v>
      </c>
      <c r="G11" s="5" t="s">
        <v>130</v>
      </c>
      <c r="H11" s="7">
        <v>4</v>
      </c>
      <c r="I11" s="5" t="s">
        <v>93</v>
      </c>
      <c r="J11" s="7">
        <v>5</v>
      </c>
      <c r="K11" s="6"/>
      <c r="L11" s="7">
        <v>9</v>
      </c>
      <c r="M11" s="5" t="s">
        <v>93</v>
      </c>
      <c r="N11" s="5" t="s">
        <v>93</v>
      </c>
      <c r="O11" s="6"/>
      <c r="P11" s="7">
        <v>4</v>
      </c>
      <c r="Q11" s="5" t="s">
        <v>69</v>
      </c>
      <c r="R11" s="5" t="s">
        <v>34</v>
      </c>
      <c r="S11" s="7">
        <v>1</v>
      </c>
      <c r="T11" s="5" t="s">
        <v>43</v>
      </c>
      <c r="U11" s="5" t="s">
        <v>131</v>
      </c>
      <c r="V11" s="7">
        <v>1</v>
      </c>
      <c r="W11" s="5" t="s">
        <v>125</v>
      </c>
      <c r="X11" s="7">
        <v>3</v>
      </c>
      <c r="Y11" s="7">
        <v>5</v>
      </c>
      <c r="Z11" s="5" t="s">
        <v>60</v>
      </c>
      <c r="AA11" s="7">
        <v>4</v>
      </c>
      <c r="AB11" s="5" t="s">
        <v>57</v>
      </c>
      <c r="AC11" s="5" t="s">
        <v>34</v>
      </c>
      <c r="AD11" s="5" t="s">
        <v>132</v>
      </c>
      <c r="AE11" s="8" t="s">
        <v>133</v>
      </c>
      <c r="AF11" s="9"/>
      <c r="AG11" s="9"/>
      <c r="AH11" s="9"/>
      <c r="AI11" s="9"/>
      <c r="AJ11" s="9"/>
      <c r="AK11" s="9"/>
    </row>
    <row r="12" ht="22.5" customHeight="1" spans="1:37">
      <c r="A12" s="10">
        <v>46194.7953483449</v>
      </c>
      <c r="B12" s="11" t="s">
        <v>134</v>
      </c>
      <c r="C12" s="11" t="s">
        <v>63</v>
      </c>
      <c r="D12" s="11" t="s">
        <v>135</v>
      </c>
      <c r="E12" s="11" t="s">
        <v>57</v>
      </c>
      <c r="F12" s="11" t="s">
        <v>136</v>
      </c>
      <c r="G12" s="11" t="s">
        <v>36</v>
      </c>
      <c r="H12" s="12">
        <v>3</v>
      </c>
      <c r="I12" s="11" t="s">
        <v>137</v>
      </c>
      <c r="J12" s="11" t="s">
        <v>138</v>
      </c>
      <c r="K12" s="23"/>
      <c r="L12" s="12">
        <v>7</v>
      </c>
      <c r="M12" s="11" t="s">
        <v>139</v>
      </c>
      <c r="N12" s="11" t="s">
        <v>140</v>
      </c>
      <c r="O12" s="23"/>
      <c r="P12" s="12">
        <v>4</v>
      </c>
      <c r="Q12" s="11" t="s">
        <v>141</v>
      </c>
      <c r="R12" s="11" t="s">
        <v>34</v>
      </c>
      <c r="S12" s="12">
        <v>4</v>
      </c>
      <c r="T12" s="11" t="s">
        <v>58</v>
      </c>
      <c r="U12" s="11" t="s">
        <v>142</v>
      </c>
      <c r="V12" s="12">
        <v>3</v>
      </c>
      <c r="W12" s="11" t="s">
        <v>125</v>
      </c>
      <c r="X12" s="12">
        <v>4</v>
      </c>
      <c r="Y12" s="12">
        <v>5</v>
      </c>
      <c r="Z12" s="11" t="s">
        <v>60</v>
      </c>
      <c r="AA12" s="12">
        <v>5</v>
      </c>
      <c r="AB12" s="11" t="s">
        <v>57</v>
      </c>
      <c r="AC12" s="11" t="s">
        <v>57</v>
      </c>
      <c r="AD12" s="11" t="s">
        <v>143</v>
      </c>
      <c r="AE12" s="28"/>
      <c r="AF12" s="9"/>
      <c r="AG12" s="9"/>
      <c r="AH12" s="9"/>
      <c r="AI12" s="9"/>
      <c r="AJ12" s="9"/>
      <c r="AK12" s="9"/>
    </row>
    <row r="13" ht="22.5" customHeight="1" spans="1:37">
      <c r="A13" s="4">
        <v>46194.8536177315</v>
      </c>
      <c r="B13" s="5" t="s">
        <v>144</v>
      </c>
      <c r="C13" s="5" t="s">
        <v>32</v>
      </c>
      <c r="D13" s="5" t="s">
        <v>145</v>
      </c>
      <c r="E13" s="5" t="s">
        <v>57</v>
      </c>
      <c r="F13" s="5" t="s">
        <v>146</v>
      </c>
      <c r="G13" s="5" t="s">
        <v>36</v>
      </c>
      <c r="H13" s="7">
        <v>1</v>
      </c>
      <c r="I13" s="5" t="s">
        <v>147</v>
      </c>
      <c r="J13" s="7">
        <v>1</v>
      </c>
      <c r="K13" s="5" t="s">
        <v>148</v>
      </c>
      <c r="L13" s="7">
        <v>1</v>
      </c>
      <c r="M13" s="5" t="s">
        <v>93</v>
      </c>
      <c r="N13" s="5" t="s">
        <v>149</v>
      </c>
      <c r="O13" s="5" t="s">
        <v>57</v>
      </c>
      <c r="P13" s="7">
        <v>1</v>
      </c>
      <c r="Q13" s="5" t="s">
        <v>141</v>
      </c>
      <c r="R13" s="5" t="s">
        <v>34</v>
      </c>
      <c r="S13" s="7">
        <v>1</v>
      </c>
      <c r="T13" s="5" t="s">
        <v>150</v>
      </c>
      <c r="U13" s="5" t="s">
        <v>151</v>
      </c>
      <c r="V13" s="7">
        <v>1</v>
      </c>
      <c r="W13" s="5" t="s">
        <v>125</v>
      </c>
      <c r="X13" s="7">
        <v>5</v>
      </c>
      <c r="Y13" s="7">
        <v>5</v>
      </c>
      <c r="Z13" s="5" t="s">
        <v>60</v>
      </c>
      <c r="AA13" s="7">
        <v>1</v>
      </c>
      <c r="AB13" s="5" t="s">
        <v>57</v>
      </c>
      <c r="AC13" s="5" t="s">
        <v>57</v>
      </c>
      <c r="AD13" s="5" t="s">
        <v>152</v>
      </c>
      <c r="AE13" s="8" t="s">
        <v>153</v>
      </c>
      <c r="AF13" s="9"/>
      <c r="AG13" s="9"/>
      <c r="AH13" s="9"/>
      <c r="AI13" s="9"/>
      <c r="AJ13" s="9"/>
      <c r="AK13" s="9"/>
    </row>
    <row r="14" ht="22.5" customHeight="1" spans="1:37">
      <c r="A14" s="10">
        <v>46194.7576051157</v>
      </c>
      <c r="B14" s="11" t="s">
        <v>154</v>
      </c>
      <c r="C14" s="23"/>
      <c r="D14" s="11" t="s">
        <v>155</v>
      </c>
      <c r="E14" s="11" t="s">
        <v>120</v>
      </c>
      <c r="F14" s="11" t="s">
        <v>156</v>
      </c>
      <c r="G14" s="11" t="s">
        <v>36</v>
      </c>
      <c r="H14" s="12">
        <v>3</v>
      </c>
      <c r="I14" s="11" t="s">
        <v>93</v>
      </c>
      <c r="J14" s="12">
        <v>4</v>
      </c>
      <c r="K14" s="23"/>
      <c r="L14" s="12">
        <v>8</v>
      </c>
      <c r="M14" s="11" t="s">
        <v>93</v>
      </c>
      <c r="N14" s="11" t="s">
        <v>157</v>
      </c>
      <c r="O14" s="23"/>
      <c r="P14" s="12">
        <v>3</v>
      </c>
      <c r="Q14" s="11" t="s">
        <v>69</v>
      </c>
      <c r="R14" s="11" t="s">
        <v>34</v>
      </c>
      <c r="S14" s="12">
        <v>1</v>
      </c>
      <c r="T14" s="11" t="s">
        <v>96</v>
      </c>
      <c r="U14" s="11" t="s">
        <v>158</v>
      </c>
      <c r="V14" s="12">
        <v>3</v>
      </c>
      <c r="W14" s="11" t="s">
        <v>125</v>
      </c>
      <c r="X14" s="12">
        <v>5</v>
      </c>
      <c r="Y14" s="12">
        <v>5</v>
      </c>
      <c r="Z14" s="11" t="s">
        <v>60</v>
      </c>
      <c r="AA14" s="12">
        <v>2</v>
      </c>
      <c r="AB14" s="11" t="s">
        <v>57</v>
      </c>
      <c r="AC14" s="11" t="s">
        <v>57</v>
      </c>
      <c r="AD14" s="11" t="s">
        <v>159</v>
      </c>
      <c r="AE14" s="13" t="s">
        <v>160</v>
      </c>
      <c r="AF14" s="9"/>
      <c r="AG14" s="9"/>
      <c r="AH14" s="9"/>
      <c r="AI14" s="9"/>
      <c r="AJ14" s="9"/>
      <c r="AK14" s="9"/>
    </row>
    <row r="15" ht="22.5" customHeight="1" spans="1:37">
      <c r="A15" s="4">
        <v>46194.7689719444</v>
      </c>
      <c r="B15" s="5" t="s">
        <v>93</v>
      </c>
      <c r="C15" s="6"/>
      <c r="D15" s="5" t="s">
        <v>161</v>
      </c>
      <c r="E15" s="5" t="s">
        <v>57</v>
      </c>
      <c r="F15" s="5" t="s">
        <v>162</v>
      </c>
      <c r="G15" s="5" t="s">
        <v>36</v>
      </c>
      <c r="H15" s="7">
        <v>8</v>
      </c>
      <c r="I15" s="5" t="s">
        <v>163</v>
      </c>
      <c r="J15" s="7">
        <v>4</v>
      </c>
      <c r="K15" s="6"/>
      <c r="L15" s="7">
        <v>7</v>
      </c>
      <c r="M15" s="5" t="s">
        <v>164</v>
      </c>
      <c r="N15" s="5" t="s">
        <v>165</v>
      </c>
      <c r="O15" s="5" t="s">
        <v>166</v>
      </c>
      <c r="P15" s="7">
        <v>1</v>
      </c>
      <c r="Q15" s="5" t="s">
        <v>69</v>
      </c>
      <c r="R15" s="5" t="s">
        <v>34</v>
      </c>
      <c r="S15" s="7">
        <v>5</v>
      </c>
      <c r="T15" s="5" t="s">
        <v>58</v>
      </c>
      <c r="U15" s="5" t="s">
        <v>167</v>
      </c>
      <c r="V15" s="7">
        <v>4</v>
      </c>
      <c r="W15" s="5" t="s">
        <v>45</v>
      </c>
      <c r="X15" s="7">
        <v>4</v>
      </c>
      <c r="Y15" s="7">
        <v>1</v>
      </c>
      <c r="Z15" s="5" t="s">
        <v>168</v>
      </c>
      <c r="AA15" s="7">
        <v>3</v>
      </c>
      <c r="AB15" s="5" t="s">
        <v>57</v>
      </c>
      <c r="AC15" s="5" t="s">
        <v>57</v>
      </c>
      <c r="AD15" s="5" t="s">
        <v>169</v>
      </c>
      <c r="AE15" s="8" t="s">
        <v>170</v>
      </c>
      <c r="AF15" s="9"/>
      <c r="AG15" s="9"/>
      <c r="AH15" s="9"/>
      <c r="AI15" s="9"/>
      <c r="AJ15" s="9"/>
      <c r="AK15" s="9"/>
    </row>
    <row r="16" ht="22.5" customHeight="1" spans="1:37">
      <c r="A16" s="10">
        <v>46197.9139493866</v>
      </c>
      <c r="B16" s="11" t="s">
        <v>171</v>
      </c>
      <c r="C16" s="11" t="s">
        <v>32</v>
      </c>
      <c r="D16" s="11" t="s">
        <v>172</v>
      </c>
      <c r="E16" s="11" t="s">
        <v>34</v>
      </c>
      <c r="F16" s="11" t="s">
        <v>93</v>
      </c>
      <c r="G16" s="11" t="s">
        <v>36</v>
      </c>
      <c r="H16" s="12">
        <v>7</v>
      </c>
      <c r="I16" s="11" t="s">
        <v>93</v>
      </c>
      <c r="J16" s="12">
        <v>3</v>
      </c>
      <c r="K16" s="11" t="s">
        <v>173</v>
      </c>
      <c r="L16" s="12">
        <v>8</v>
      </c>
      <c r="M16" s="11" t="s">
        <v>93</v>
      </c>
      <c r="N16" s="11" t="s">
        <v>174</v>
      </c>
      <c r="O16" s="11" t="s">
        <v>175</v>
      </c>
      <c r="P16" s="12">
        <v>4</v>
      </c>
      <c r="Q16" s="11" t="s">
        <v>69</v>
      </c>
      <c r="R16" s="11" t="s">
        <v>57</v>
      </c>
      <c r="S16" s="12">
        <v>1</v>
      </c>
      <c r="T16" s="11" t="s">
        <v>43</v>
      </c>
      <c r="U16" s="11" t="s">
        <v>93</v>
      </c>
      <c r="V16" s="12">
        <v>3</v>
      </c>
      <c r="W16" s="11" t="s">
        <v>45</v>
      </c>
      <c r="X16" s="12">
        <v>3</v>
      </c>
      <c r="Y16" s="12">
        <v>4</v>
      </c>
      <c r="Z16" s="11" t="s">
        <v>60</v>
      </c>
      <c r="AA16" s="12">
        <v>5</v>
      </c>
      <c r="AB16" s="11" t="s">
        <v>34</v>
      </c>
      <c r="AC16" s="11" t="s">
        <v>34</v>
      </c>
      <c r="AD16" s="11" t="s">
        <v>176</v>
      </c>
      <c r="AE16" s="13" t="s">
        <v>177</v>
      </c>
      <c r="AF16" s="9"/>
      <c r="AG16" s="9"/>
      <c r="AH16" s="9"/>
      <c r="AI16" s="9"/>
      <c r="AJ16" s="9"/>
      <c r="AK16" s="9"/>
    </row>
    <row r="17" ht="22.5" customHeight="1" spans="1:37">
      <c r="A17" s="18">
        <v>46196.6516369329</v>
      </c>
      <c r="B17" s="19" t="s">
        <v>178</v>
      </c>
      <c r="C17" s="19" t="s">
        <v>32</v>
      </c>
      <c r="D17" s="19" t="s">
        <v>179</v>
      </c>
      <c r="E17" s="19" t="s">
        <v>34</v>
      </c>
      <c r="F17" s="19" t="s">
        <v>180</v>
      </c>
      <c r="G17" s="19" t="s">
        <v>52</v>
      </c>
      <c r="H17" s="20">
        <v>7</v>
      </c>
      <c r="I17" s="19" t="s">
        <v>181</v>
      </c>
      <c r="J17" s="20">
        <v>5</v>
      </c>
      <c r="K17" s="19" t="s">
        <v>182</v>
      </c>
      <c r="L17" s="20">
        <v>8</v>
      </c>
      <c r="M17" s="19" t="s">
        <v>183</v>
      </c>
      <c r="N17" s="19" t="s">
        <v>184</v>
      </c>
      <c r="O17" s="19" t="s">
        <v>81</v>
      </c>
      <c r="P17" s="20">
        <v>4</v>
      </c>
      <c r="Q17" s="19" t="s">
        <v>69</v>
      </c>
      <c r="R17" s="19" t="s">
        <v>34</v>
      </c>
      <c r="S17" s="20">
        <v>3</v>
      </c>
      <c r="T17" s="19" t="s">
        <v>96</v>
      </c>
      <c r="U17" s="19" t="s">
        <v>185</v>
      </c>
      <c r="V17" s="20">
        <v>4</v>
      </c>
      <c r="W17" s="19" t="s">
        <v>114</v>
      </c>
      <c r="X17" s="20">
        <v>4</v>
      </c>
      <c r="Y17" s="20">
        <v>5</v>
      </c>
      <c r="Z17" s="19" t="s">
        <v>103</v>
      </c>
      <c r="AA17" s="20">
        <v>4</v>
      </c>
      <c r="AB17" s="19" t="s">
        <v>57</v>
      </c>
      <c r="AC17" s="19" t="s">
        <v>57</v>
      </c>
      <c r="AD17" s="19" t="s">
        <v>186</v>
      </c>
      <c r="AE17" s="19" t="s">
        <v>187</v>
      </c>
      <c r="AF17" s="35"/>
      <c r="AG17" s="9"/>
      <c r="AH17" s="9"/>
      <c r="AI17" s="9"/>
      <c r="AJ17" s="9"/>
      <c r="AK17" s="9"/>
    </row>
    <row r="18" ht="22.5" customHeight="1" spans="1:37">
      <c r="A18" s="15">
        <v>46196.700433287</v>
      </c>
      <c r="B18" s="16" t="s">
        <v>188</v>
      </c>
      <c r="C18" s="16" t="s">
        <v>63</v>
      </c>
      <c r="D18" s="16" t="s">
        <v>189</v>
      </c>
      <c r="E18" s="16" t="s">
        <v>34</v>
      </c>
      <c r="F18" s="16" t="s">
        <v>190</v>
      </c>
      <c r="G18" s="16" t="s">
        <v>36</v>
      </c>
      <c r="H18" s="17">
        <v>8</v>
      </c>
      <c r="I18" s="16" t="s">
        <v>93</v>
      </c>
      <c r="J18" s="17">
        <v>4</v>
      </c>
      <c r="K18" s="16" t="s">
        <v>191</v>
      </c>
      <c r="L18" s="17">
        <v>9</v>
      </c>
      <c r="M18" s="16" t="s">
        <v>93</v>
      </c>
      <c r="N18" s="16" t="s">
        <v>192</v>
      </c>
      <c r="O18" s="22"/>
      <c r="P18" s="17">
        <v>5</v>
      </c>
      <c r="Q18" s="16" t="s">
        <v>42</v>
      </c>
      <c r="R18" s="16" t="s">
        <v>34</v>
      </c>
      <c r="S18" s="17">
        <v>4</v>
      </c>
      <c r="T18" s="16" t="s">
        <v>58</v>
      </c>
      <c r="U18" s="16" t="s">
        <v>193</v>
      </c>
      <c r="V18" s="17">
        <v>5</v>
      </c>
      <c r="W18" s="16" t="s">
        <v>125</v>
      </c>
      <c r="X18" s="17">
        <v>5</v>
      </c>
      <c r="Y18" s="17">
        <v>5</v>
      </c>
      <c r="Z18" s="16" t="s">
        <v>60</v>
      </c>
      <c r="AA18" s="17">
        <v>5</v>
      </c>
      <c r="AB18" s="16" t="s">
        <v>34</v>
      </c>
      <c r="AC18" s="16" t="s">
        <v>34</v>
      </c>
      <c r="AD18" s="16" t="s">
        <v>194</v>
      </c>
      <c r="AE18" s="16" t="s">
        <v>195</v>
      </c>
      <c r="AF18" s="36"/>
      <c r="AG18" s="9"/>
      <c r="AH18" s="9"/>
      <c r="AI18" s="9"/>
      <c r="AJ18" s="9"/>
      <c r="AK18" s="9"/>
    </row>
    <row r="19" ht="22.5" customHeight="1" spans="1:37">
      <c r="A19" s="18">
        <v>46196.474971331</v>
      </c>
      <c r="B19" s="19" t="s">
        <v>196</v>
      </c>
      <c r="C19" s="19" t="s">
        <v>63</v>
      </c>
      <c r="D19" s="19" t="s">
        <v>197</v>
      </c>
      <c r="E19" s="19" t="s">
        <v>57</v>
      </c>
      <c r="F19" s="19" t="s">
        <v>189</v>
      </c>
      <c r="G19" s="19" t="s">
        <v>52</v>
      </c>
      <c r="H19" s="20">
        <v>7</v>
      </c>
      <c r="I19" s="19" t="s">
        <v>198</v>
      </c>
      <c r="J19" s="20">
        <v>4</v>
      </c>
      <c r="K19" s="19" t="s">
        <v>199</v>
      </c>
      <c r="L19" s="20">
        <v>1</v>
      </c>
      <c r="M19" s="19" t="s">
        <v>200</v>
      </c>
      <c r="N19" s="19" t="s">
        <v>201</v>
      </c>
      <c r="O19" s="19" t="s">
        <v>202</v>
      </c>
      <c r="P19" s="20">
        <v>1</v>
      </c>
      <c r="Q19" s="19" t="s">
        <v>141</v>
      </c>
      <c r="R19" s="19" t="s">
        <v>57</v>
      </c>
      <c r="S19" s="20">
        <v>1</v>
      </c>
      <c r="T19" s="19" t="s">
        <v>43</v>
      </c>
      <c r="U19" s="19" t="s">
        <v>93</v>
      </c>
      <c r="V19" s="20">
        <v>1</v>
      </c>
      <c r="W19" s="19" t="s">
        <v>71</v>
      </c>
      <c r="X19" s="20">
        <v>3</v>
      </c>
      <c r="Y19" s="20">
        <v>1</v>
      </c>
      <c r="Z19" s="19" t="s">
        <v>203</v>
      </c>
      <c r="AA19" s="20">
        <v>1</v>
      </c>
      <c r="AB19" s="19" t="s">
        <v>57</v>
      </c>
      <c r="AC19" s="19" t="s">
        <v>57</v>
      </c>
      <c r="AD19" s="19" t="s">
        <v>204</v>
      </c>
      <c r="AE19" s="19" t="s">
        <v>205</v>
      </c>
      <c r="AF19" s="35"/>
      <c r="AG19" s="9"/>
      <c r="AH19" s="9"/>
      <c r="AI19" s="9"/>
      <c r="AJ19" s="9"/>
      <c r="AK19" s="9"/>
    </row>
    <row r="20" ht="22.5" customHeight="1" spans="1:37">
      <c r="A20" s="15">
        <v>46194.8908721528</v>
      </c>
      <c r="B20" s="16" t="s">
        <v>206</v>
      </c>
      <c r="C20" s="16" t="s">
        <v>63</v>
      </c>
      <c r="D20" s="16" t="s">
        <v>207</v>
      </c>
      <c r="E20" s="16" t="s">
        <v>34</v>
      </c>
      <c r="F20" s="16" t="s">
        <v>208</v>
      </c>
      <c r="G20" s="16" t="s">
        <v>130</v>
      </c>
      <c r="H20" s="17">
        <v>10</v>
      </c>
      <c r="I20" s="16" t="s">
        <v>93</v>
      </c>
      <c r="J20" s="17">
        <v>5</v>
      </c>
      <c r="K20" s="17">
        <v>100000</v>
      </c>
      <c r="L20" s="17">
        <v>10</v>
      </c>
      <c r="M20" s="16" t="s">
        <v>93</v>
      </c>
      <c r="N20" s="16" t="s">
        <v>209</v>
      </c>
      <c r="O20" s="16" t="s">
        <v>210</v>
      </c>
      <c r="P20" s="17">
        <v>5</v>
      </c>
      <c r="Q20" s="16" t="s">
        <v>211</v>
      </c>
      <c r="R20" s="16" t="s">
        <v>34</v>
      </c>
      <c r="S20" s="17">
        <v>1</v>
      </c>
      <c r="T20" s="16" t="s">
        <v>112</v>
      </c>
      <c r="U20" s="16" t="s">
        <v>93</v>
      </c>
      <c r="V20" s="17">
        <v>5</v>
      </c>
      <c r="W20" s="16" t="s">
        <v>45</v>
      </c>
      <c r="X20" s="17">
        <v>2</v>
      </c>
      <c r="Y20" s="17">
        <v>2</v>
      </c>
      <c r="Z20" s="16" t="s">
        <v>60</v>
      </c>
      <c r="AA20" s="17">
        <v>5</v>
      </c>
      <c r="AB20" s="16" t="s">
        <v>34</v>
      </c>
      <c r="AC20" s="16" t="s">
        <v>34</v>
      </c>
      <c r="AD20" s="16" t="s">
        <v>212</v>
      </c>
      <c r="AE20" s="16" t="s">
        <v>57</v>
      </c>
      <c r="AF20" s="36"/>
      <c r="AG20" s="9"/>
      <c r="AH20" s="9"/>
      <c r="AI20" s="9"/>
      <c r="AJ20" s="9"/>
      <c r="AK20" s="9"/>
    </row>
    <row r="21" ht="22.5" customHeight="1" spans="1:37">
      <c r="A21" s="18">
        <v>46194.8730250231</v>
      </c>
      <c r="B21" s="19" t="s">
        <v>213</v>
      </c>
      <c r="C21" s="19" t="s">
        <v>32</v>
      </c>
      <c r="D21" s="19" t="s">
        <v>214</v>
      </c>
      <c r="E21" s="19" t="s">
        <v>34</v>
      </c>
      <c r="F21" s="19" t="s">
        <v>215</v>
      </c>
      <c r="G21" s="19" t="s">
        <v>130</v>
      </c>
      <c r="H21" s="20">
        <v>8</v>
      </c>
      <c r="I21" s="19" t="s">
        <v>216</v>
      </c>
      <c r="J21" s="20">
        <v>4</v>
      </c>
      <c r="K21" s="19" t="s">
        <v>217</v>
      </c>
      <c r="L21" s="20">
        <v>8</v>
      </c>
      <c r="M21" s="19" t="s">
        <v>218</v>
      </c>
      <c r="N21" s="19" t="s">
        <v>219</v>
      </c>
      <c r="O21" s="19" t="s">
        <v>220</v>
      </c>
      <c r="P21" s="20">
        <v>4</v>
      </c>
      <c r="Q21" s="19" t="s">
        <v>42</v>
      </c>
      <c r="R21" s="19" t="s">
        <v>34</v>
      </c>
      <c r="S21" s="20">
        <v>4</v>
      </c>
      <c r="T21" s="19" t="s">
        <v>112</v>
      </c>
      <c r="U21" s="19" t="s">
        <v>221</v>
      </c>
      <c r="V21" s="20">
        <v>4</v>
      </c>
      <c r="W21" s="19" t="s">
        <v>45</v>
      </c>
      <c r="X21" s="20">
        <v>4</v>
      </c>
      <c r="Y21" s="20">
        <v>2</v>
      </c>
      <c r="Z21" s="19" t="s">
        <v>60</v>
      </c>
      <c r="AA21" s="20">
        <v>5</v>
      </c>
      <c r="AB21" s="19" t="s">
        <v>34</v>
      </c>
      <c r="AC21" s="19" t="s">
        <v>34</v>
      </c>
      <c r="AD21" s="19" t="s">
        <v>222</v>
      </c>
      <c r="AE21" s="19" t="s">
        <v>223</v>
      </c>
      <c r="AF21" s="35"/>
      <c r="AG21" s="9"/>
      <c r="AH21" s="9"/>
      <c r="AI21" s="9"/>
      <c r="AJ21" s="9"/>
      <c r="AK21" s="9"/>
    </row>
    <row r="22" ht="22.5" customHeight="1" spans="1:37">
      <c r="A22" s="15">
        <v>46196.4896342477</v>
      </c>
      <c r="B22" s="16" t="s">
        <v>224</v>
      </c>
      <c r="C22" s="16" t="s">
        <v>32</v>
      </c>
      <c r="D22" s="16" t="s">
        <v>225</v>
      </c>
      <c r="E22" s="16" t="s">
        <v>57</v>
      </c>
      <c r="F22" s="16" t="s">
        <v>226</v>
      </c>
      <c r="G22" s="16" t="s">
        <v>52</v>
      </c>
      <c r="H22" s="17">
        <v>6</v>
      </c>
      <c r="I22" s="16" t="s">
        <v>227</v>
      </c>
      <c r="J22" s="17">
        <v>5</v>
      </c>
      <c r="K22" s="16" t="s">
        <v>228</v>
      </c>
      <c r="L22" s="17">
        <v>7</v>
      </c>
      <c r="M22" s="16" t="s">
        <v>229</v>
      </c>
      <c r="N22" s="16" t="s">
        <v>230</v>
      </c>
      <c r="O22" s="16" t="s">
        <v>231</v>
      </c>
      <c r="P22" s="17">
        <v>3</v>
      </c>
      <c r="Q22" s="16" t="s">
        <v>141</v>
      </c>
      <c r="R22" s="16" t="s">
        <v>34</v>
      </c>
      <c r="S22" s="17">
        <v>2</v>
      </c>
      <c r="T22" s="16" t="s">
        <v>58</v>
      </c>
      <c r="U22" s="16" t="s">
        <v>232</v>
      </c>
      <c r="V22" s="17">
        <v>4</v>
      </c>
      <c r="W22" s="16" t="s">
        <v>114</v>
      </c>
      <c r="X22" s="17">
        <v>4</v>
      </c>
      <c r="Y22" s="17">
        <v>5</v>
      </c>
      <c r="Z22" s="16" t="s">
        <v>60</v>
      </c>
      <c r="AA22" s="17">
        <v>3</v>
      </c>
      <c r="AB22" s="16" t="s">
        <v>57</v>
      </c>
      <c r="AC22" s="16" t="s">
        <v>57</v>
      </c>
      <c r="AD22" s="16" t="s">
        <v>233</v>
      </c>
      <c r="AE22" s="16" t="s">
        <v>234</v>
      </c>
      <c r="AF22" s="36"/>
      <c r="AG22" s="9"/>
      <c r="AH22" s="9"/>
      <c r="AI22" s="9"/>
      <c r="AJ22" s="9"/>
      <c r="AK22" s="9"/>
    </row>
    <row r="23" ht="22.5" customHeight="1" spans="1:37">
      <c r="A23" s="18">
        <v>46194.7249407755</v>
      </c>
      <c r="B23" s="19" t="s">
        <v>235</v>
      </c>
      <c r="C23" s="26"/>
      <c r="D23" s="19" t="s">
        <v>236</v>
      </c>
      <c r="E23" s="19" t="s">
        <v>34</v>
      </c>
      <c r="F23" s="19" t="s">
        <v>64</v>
      </c>
      <c r="G23" s="19" t="s">
        <v>52</v>
      </c>
      <c r="H23" s="20">
        <v>9</v>
      </c>
      <c r="I23" s="19" t="s">
        <v>237</v>
      </c>
      <c r="J23" s="20">
        <v>7</v>
      </c>
      <c r="K23" s="26"/>
      <c r="L23" s="20">
        <v>9</v>
      </c>
      <c r="M23" s="19" t="s">
        <v>238</v>
      </c>
      <c r="N23" s="19" t="s">
        <v>239</v>
      </c>
      <c r="O23" s="26"/>
      <c r="P23" s="20">
        <v>5</v>
      </c>
      <c r="Q23" s="19" t="s">
        <v>42</v>
      </c>
      <c r="R23" s="19" t="s">
        <v>57</v>
      </c>
      <c r="S23" s="20">
        <v>5</v>
      </c>
      <c r="T23" s="19" t="s">
        <v>58</v>
      </c>
      <c r="U23" s="19" t="s">
        <v>239</v>
      </c>
      <c r="V23" s="20">
        <v>4</v>
      </c>
      <c r="W23" s="19" t="s">
        <v>45</v>
      </c>
      <c r="X23" s="20">
        <v>4</v>
      </c>
      <c r="Y23" s="20">
        <v>1</v>
      </c>
      <c r="Z23" s="19" t="s">
        <v>60</v>
      </c>
      <c r="AA23" s="20">
        <v>5</v>
      </c>
      <c r="AB23" s="19" t="s">
        <v>34</v>
      </c>
      <c r="AC23" s="19" t="s">
        <v>34</v>
      </c>
      <c r="AD23" s="19" t="s">
        <v>239</v>
      </c>
      <c r="AE23" s="19" t="s">
        <v>239</v>
      </c>
      <c r="AF23" s="35"/>
      <c r="AG23" s="9"/>
      <c r="AH23" s="9"/>
      <c r="AI23" s="9"/>
      <c r="AJ23" s="9"/>
      <c r="AK23" s="9"/>
    </row>
    <row r="24" ht="22.5" customHeight="1" spans="1:37">
      <c r="A24" s="15">
        <v>46196.6230166319</v>
      </c>
      <c r="B24" s="16" t="s">
        <v>240</v>
      </c>
      <c r="C24" s="16" t="s">
        <v>32</v>
      </c>
      <c r="D24" s="16" t="s">
        <v>241</v>
      </c>
      <c r="E24" s="16" t="s">
        <v>57</v>
      </c>
      <c r="F24" s="16" t="s">
        <v>242</v>
      </c>
      <c r="G24" s="16" t="s">
        <v>130</v>
      </c>
      <c r="H24" s="17">
        <v>3</v>
      </c>
      <c r="I24" s="16" t="s">
        <v>243</v>
      </c>
      <c r="J24" s="17">
        <v>4</v>
      </c>
      <c r="K24" s="16" t="s">
        <v>244</v>
      </c>
      <c r="L24" s="17">
        <v>8</v>
      </c>
      <c r="M24" s="16" t="s">
        <v>245</v>
      </c>
      <c r="N24" s="16" t="s">
        <v>246</v>
      </c>
      <c r="O24" s="16" t="s">
        <v>247</v>
      </c>
      <c r="P24" s="17">
        <v>3</v>
      </c>
      <c r="Q24" s="16" t="s">
        <v>69</v>
      </c>
      <c r="R24" s="16" t="s">
        <v>34</v>
      </c>
      <c r="S24" s="17">
        <v>1</v>
      </c>
      <c r="T24" s="16" t="s">
        <v>112</v>
      </c>
      <c r="U24" s="16" t="s">
        <v>248</v>
      </c>
      <c r="V24" s="17">
        <v>1</v>
      </c>
      <c r="W24" s="16" t="s">
        <v>45</v>
      </c>
      <c r="X24" s="17">
        <v>3</v>
      </c>
      <c r="Y24" s="17">
        <v>5</v>
      </c>
      <c r="Z24" s="16" t="s">
        <v>60</v>
      </c>
      <c r="AA24" s="17">
        <v>3</v>
      </c>
      <c r="AB24" s="16" t="s">
        <v>57</v>
      </c>
      <c r="AC24" s="16" t="s">
        <v>57</v>
      </c>
      <c r="AD24" s="16" t="s">
        <v>249</v>
      </c>
      <c r="AE24" s="22"/>
      <c r="AF24" s="36"/>
      <c r="AG24" s="9"/>
      <c r="AH24" s="9"/>
      <c r="AI24" s="9"/>
      <c r="AJ24" s="9"/>
      <c r="AK24" s="9"/>
    </row>
    <row r="25" ht="22.5" customHeight="1" spans="1:37">
      <c r="A25" s="18">
        <v>46194.8046805208</v>
      </c>
      <c r="B25" s="19" t="s">
        <v>250</v>
      </c>
      <c r="C25" s="19" t="s">
        <v>63</v>
      </c>
      <c r="D25" s="19" t="s">
        <v>251</v>
      </c>
      <c r="E25" s="19" t="s">
        <v>57</v>
      </c>
      <c r="F25" s="19" t="s">
        <v>252</v>
      </c>
      <c r="G25" s="19" t="s">
        <v>36</v>
      </c>
      <c r="H25" s="20">
        <v>6</v>
      </c>
      <c r="I25" s="19" t="s">
        <v>93</v>
      </c>
      <c r="J25" s="20">
        <v>10</v>
      </c>
      <c r="K25" s="26"/>
      <c r="L25" s="20">
        <v>6</v>
      </c>
      <c r="M25" s="19" t="s">
        <v>93</v>
      </c>
      <c r="N25" s="19" t="s">
        <v>253</v>
      </c>
      <c r="O25" s="19" t="s">
        <v>93</v>
      </c>
      <c r="P25" s="20">
        <v>4</v>
      </c>
      <c r="Q25" s="19" t="s">
        <v>69</v>
      </c>
      <c r="R25" s="19" t="s">
        <v>34</v>
      </c>
      <c r="S25" s="20">
        <v>4</v>
      </c>
      <c r="T25" s="19" t="s">
        <v>58</v>
      </c>
      <c r="U25" s="19" t="s">
        <v>93</v>
      </c>
      <c r="V25" s="20">
        <v>2</v>
      </c>
      <c r="W25" s="19" t="s">
        <v>45</v>
      </c>
      <c r="X25" s="20">
        <v>3</v>
      </c>
      <c r="Y25" s="20">
        <v>3</v>
      </c>
      <c r="Z25" s="19" t="s">
        <v>203</v>
      </c>
      <c r="AA25" s="20">
        <v>2</v>
      </c>
      <c r="AB25" s="19" t="s">
        <v>254</v>
      </c>
      <c r="AC25" s="19" t="s">
        <v>57</v>
      </c>
      <c r="AD25" s="19" t="s">
        <v>255</v>
      </c>
      <c r="AE25" s="19" t="s">
        <v>256</v>
      </c>
      <c r="AF25" s="35"/>
      <c r="AG25" s="9"/>
      <c r="AH25" s="9"/>
      <c r="AI25" s="9"/>
      <c r="AJ25" s="9"/>
      <c r="AK25" s="9"/>
    </row>
    <row r="26" ht="22.5" customHeight="1" spans="1:37">
      <c r="A26" s="15">
        <v>46196.4917586111</v>
      </c>
      <c r="B26" s="16" t="s">
        <v>257</v>
      </c>
      <c r="C26" s="16" t="s">
        <v>32</v>
      </c>
      <c r="D26" s="16" t="s">
        <v>258</v>
      </c>
      <c r="E26" s="16" t="s">
        <v>57</v>
      </c>
      <c r="F26" s="16" t="s">
        <v>259</v>
      </c>
      <c r="G26" s="16" t="s">
        <v>52</v>
      </c>
      <c r="H26" s="17">
        <v>4</v>
      </c>
      <c r="I26" s="16" t="s">
        <v>93</v>
      </c>
      <c r="J26" s="17">
        <v>5</v>
      </c>
      <c r="K26" s="16" t="s">
        <v>260</v>
      </c>
      <c r="L26" s="17">
        <v>1</v>
      </c>
      <c r="M26" s="16" t="s">
        <v>93</v>
      </c>
      <c r="N26" s="16" t="s">
        <v>261</v>
      </c>
      <c r="O26" s="22"/>
      <c r="P26" s="17">
        <v>1</v>
      </c>
      <c r="Q26" s="16" t="s">
        <v>141</v>
      </c>
      <c r="R26" s="16" t="s">
        <v>57</v>
      </c>
      <c r="S26" s="17">
        <v>1</v>
      </c>
      <c r="T26" s="16" t="s">
        <v>112</v>
      </c>
      <c r="U26" s="16" t="s">
        <v>93</v>
      </c>
      <c r="V26" s="17">
        <v>1</v>
      </c>
      <c r="W26" s="16" t="s">
        <v>71</v>
      </c>
      <c r="X26" s="17">
        <v>3</v>
      </c>
      <c r="Y26" s="17">
        <v>2</v>
      </c>
      <c r="Z26" s="16" t="s">
        <v>203</v>
      </c>
      <c r="AA26" s="17">
        <v>1</v>
      </c>
      <c r="AB26" s="16" t="s">
        <v>57</v>
      </c>
      <c r="AC26" s="16" t="s">
        <v>57</v>
      </c>
      <c r="AD26" s="16" t="s">
        <v>262</v>
      </c>
      <c r="AE26" s="22"/>
      <c r="AF26" s="36"/>
      <c r="AG26" s="9"/>
      <c r="AH26" s="9"/>
      <c r="AI26" s="9"/>
      <c r="AJ26" s="9"/>
      <c r="AK26" s="9"/>
    </row>
    <row r="27" ht="22.5" customHeight="1" spans="1:37">
      <c r="A27" s="18">
        <v>46196.807695706</v>
      </c>
      <c r="B27" s="19" t="s">
        <v>263</v>
      </c>
      <c r="C27" s="19" t="s">
        <v>63</v>
      </c>
      <c r="D27" s="19" t="s">
        <v>264</v>
      </c>
      <c r="E27" s="19" t="s">
        <v>57</v>
      </c>
      <c r="F27" s="19" t="s">
        <v>265</v>
      </c>
      <c r="G27" s="19" t="s">
        <v>52</v>
      </c>
      <c r="H27" s="20">
        <v>7</v>
      </c>
      <c r="I27" s="19" t="s">
        <v>266</v>
      </c>
      <c r="J27" s="20">
        <v>2</v>
      </c>
      <c r="K27" s="19" t="s">
        <v>267</v>
      </c>
      <c r="L27" s="20">
        <v>2</v>
      </c>
      <c r="M27" s="19" t="s">
        <v>268</v>
      </c>
      <c r="N27" s="19" t="s">
        <v>269</v>
      </c>
      <c r="O27" s="26"/>
      <c r="P27" s="20">
        <v>2</v>
      </c>
      <c r="Q27" s="19" t="s">
        <v>69</v>
      </c>
      <c r="R27" s="19" t="s">
        <v>57</v>
      </c>
      <c r="S27" s="20">
        <v>3</v>
      </c>
      <c r="T27" s="19" t="s">
        <v>43</v>
      </c>
      <c r="U27" s="19" t="s">
        <v>93</v>
      </c>
      <c r="V27" s="20">
        <v>1</v>
      </c>
      <c r="W27" s="19" t="s">
        <v>71</v>
      </c>
      <c r="X27" s="20">
        <v>4</v>
      </c>
      <c r="Y27" s="20">
        <v>1</v>
      </c>
      <c r="Z27" s="19" t="s">
        <v>46</v>
      </c>
      <c r="AA27" s="20">
        <v>2</v>
      </c>
      <c r="AB27" s="19" t="s">
        <v>57</v>
      </c>
      <c r="AC27" s="19" t="s">
        <v>57</v>
      </c>
      <c r="AD27" s="19" t="s">
        <v>270</v>
      </c>
      <c r="AE27" s="26"/>
      <c r="AF27" s="35"/>
      <c r="AG27" s="9"/>
      <c r="AH27" s="9"/>
      <c r="AI27" s="9"/>
      <c r="AJ27" s="9"/>
      <c r="AK27" s="9"/>
    </row>
    <row r="28" ht="22.5" customHeight="1" spans="1:37">
      <c r="A28" s="15">
        <v>46196.7975450463</v>
      </c>
      <c r="B28" s="16" t="s">
        <v>271</v>
      </c>
      <c r="C28" s="16" t="s">
        <v>32</v>
      </c>
      <c r="D28" s="16" t="s">
        <v>272</v>
      </c>
      <c r="E28" s="16" t="s">
        <v>34</v>
      </c>
      <c r="F28" s="16" t="s">
        <v>57</v>
      </c>
      <c r="G28" s="16" t="s">
        <v>52</v>
      </c>
      <c r="H28" s="17">
        <v>9</v>
      </c>
      <c r="I28" s="16" t="s">
        <v>93</v>
      </c>
      <c r="J28" s="17">
        <v>3</v>
      </c>
      <c r="K28" s="17">
        <v>12000</v>
      </c>
      <c r="L28" s="17">
        <v>9</v>
      </c>
      <c r="M28" s="16" t="s">
        <v>93</v>
      </c>
      <c r="N28" s="16" t="s">
        <v>273</v>
      </c>
      <c r="O28" s="22"/>
      <c r="P28" s="17">
        <v>5</v>
      </c>
      <c r="Q28" s="16" t="s">
        <v>42</v>
      </c>
      <c r="R28" s="16" t="s">
        <v>57</v>
      </c>
      <c r="S28" s="17">
        <v>5</v>
      </c>
      <c r="T28" s="16" t="s">
        <v>58</v>
      </c>
      <c r="U28" s="16" t="s">
        <v>93</v>
      </c>
      <c r="V28" s="17">
        <v>5</v>
      </c>
      <c r="W28" s="16" t="s">
        <v>45</v>
      </c>
      <c r="X28" s="17">
        <v>4</v>
      </c>
      <c r="Y28" s="17">
        <v>2</v>
      </c>
      <c r="Z28" s="16" t="s">
        <v>46</v>
      </c>
      <c r="AA28" s="17">
        <v>5</v>
      </c>
      <c r="AB28" s="16" t="s">
        <v>34</v>
      </c>
      <c r="AC28" s="16" t="s">
        <v>34</v>
      </c>
      <c r="AD28" s="16" t="s">
        <v>274</v>
      </c>
      <c r="AE28" s="16" t="s">
        <v>275</v>
      </c>
      <c r="AF28" s="36"/>
      <c r="AG28" s="9"/>
      <c r="AH28" s="9"/>
      <c r="AI28" s="9"/>
      <c r="AJ28" s="9"/>
      <c r="AK28" s="9"/>
    </row>
    <row r="29" ht="22.5" customHeight="1" spans="1:37">
      <c r="A29" s="18">
        <v>46196.7463596991</v>
      </c>
      <c r="B29" s="19" t="s">
        <v>276</v>
      </c>
      <c r="C29" s="19" t="s">
        <v>32</v>
      </c>
      <c r="D29" s="19" t="s">
        <v>277</v>
      </c>
      <c r="E29" s="19" t="s">
        <v>34</v>
      </c>
      <c r="F29" s="19" t="s">
        <v>93</v>
      </c>
      <c r="G29" s="19" t="s">
        <v>52</v>
      </c>
      <c r="H29" s="20">
        <v>8</v>
      </c>
      <c r="I29" s="19" t="s">
        <v>93</v>
      </c>
      <c r="J29" s="20">
        <v>3</v>
      </c>
      <c r="K29" s="19" t="s">
        <v>278</v>
      </c>
      <c r="L29" s="20">
        <v>9</v>
      </c>
      <c r="M29" s="19" t="s">
        <v>279</v>
      </c>
      <c r="N29" s="19" t="s">
        <v>280</v>
      </c>
      <c r="O29" s="19" t="s">
        <v>281</v>
      </c>
      <c r="P29" s="20">
        <v>4</v>
      </c>
      <c r="Q29" s="19" t="s">
        <v>42</v>
      </c>
      <c r="R29" s="19" t="s">
        <v>34</v>
      </c>
      <c r="S29" s="20">
        <v>4</v>
      </c>
      <c r="T29" s="19" t="s">
        <v>58</v>
      </c>
      <c r="U29" s="19" t="s">
        <v>282</v>
      </c>
      <c r="V29" s="20">
        <v>4</v>
      </c>
      <c r="W29" s="19" t="s">
        <v>71</v>
      </c>
      <c r="X29" s="20">
        <v>3</v>
      </c>
      <c r="Y29" s="20">
        <v>2</v>
      </c>
      <c r="Z29" s="19" t="s">
        <v>60</v>
      </c>
      <c r="AA29" s="20">
        <v>3</v>
      </c>
      <c r="AB29" s="19" t="s">
        <v>34</v>
      </c>
      <c r="AC29" s="19" t="s">
        <v>34</v>
      </c>
      <c r="AD29" s="19" t="s">
        <v>283</v>
      </c>
      <c r="AE29" s="19" t="s">
        <v>284</v>
      </c>
      <c r="AF29" s="35"/>
      <c r="AG29" s="9"/>
      <c r="AH29" s="9"/>
      <c r="AI29" s="9"/>
      <c r="AJ29" s="9"/>
      <c r="AK29" s="9"/>
    </row>
    <row r="30" ht="22.5" customHeight="1" spans="1:37">
      <c r="A30" s="15">
        <v>46196.4787039815</v>
      </c>
      <c r="B30" s="16" t="s">
        <v>285</v>
      </c>
      <c r="C30" s="16" t="s">
        <v>32</v>
      </c>
      <c r="D30" s="16" t="s">
        <v>286</v>
      </c>
      <c r="E30" s="16" t="s">
        <v>57</v>
      </c>
      <c r="F30" s="16" t="s">
        <v>287</v>
      </c>
      <c r="G30" s="16" t="s">
        <v>52</v>
      </c>
      <c r="H30" s="17">
        <v>5</v>
      </c>
      <c r="I30" s="16" t="s">
        <v>288</v>
      </c>
      <c r="J30" s="17">
        <v>1</v>
      </c>
      <c r="K30" s="16" t="s">
        <v>289</v>
      </c>
      <c r="L30" s="17">
        <v>3</v>
      </c>
      <c r="M30" s="16" t="s">
        <v>290</v>
      </c>
      <c r="N30" s="16" t="s">
        <v>291</v>
      </c>
      <c r="O30" s="16" t="s">
        <v>292</v>
      </c>
      <c r="P30" s="17">
        <v>2</v>
      </c>
      <c r="Q30" s="16" t="s">
        <v>141</v>
      </c>
      <c r="R30" s="16" t="s">
        <v>34</v>
      </c>
      <c r="S30" s="17">
        <v>1</v>
      </c>
      <c r="T30" s="16" t="s">
        <v>58</v>
      </c>
      <c r="U30" s="16" t="s">
        <v>293</v>
      </c>
      <c r="V30" s="17">
        <v>1</v>
      </c>
      <c r="W30" s="16" t="s">
        <v>114</v>
      </c>
      <c r="X30" s="17">
        <v>3</v>
      </c>
      <c r="Y30" s="17">
        <v>5</v>
      </c>
      <c r="Z30" s="16" t="s">
        <v>60</v>
      </c>
      <c r="AA30" s="17">
        <v>2</v>
      </c>
      <c r="AB30" s="16" t="s">
        <v>294</v>
      </c>
      <c r="AC30" s="16" t="s">
        <v>57</v>
      </c>
      <c r="AD30" s="16" t="s">
        <v>295</v>
      </c>
      <c r="AE30" s="16" t="s">
        <v>296</v>
      </c>
      <c r="AF30" s="36"/>
      <c r="AG30" s="9"/>
      <c r="AH30" s="9"/>
      <c r="AI30" s="9"/>
      <c r="AJ30" s="9"/>
      <c r="AK30" s="9"/>
    </row>
    <row r="31" ht="22.5" customHeight="1" spans="1:37">
      <c r="A31" s="18">
        <v>46194.7203824537</v>
      </c>
      <c r="B31" s="19" t="s">
        <v>297</v>
      </c>
      <c r="C31" s="26"/>
      <c r="D31" s="19" t="s">
        <v>298</v>
      </c>
      <c r="E31" s="19" t="s">
        <v>120</v>
      </c>
      <c r="F31" s="19" t="s">
        <v>93</v>
      </c>
      <c r="G31" s="19" t="s">
        <v>52</v>
      </c>
      <c r="H31" s="20">
        <v>5</v>
      </c>
      <c r="I31" s="19" t="s">
        <v>299</v>
      </c>
      <c r="J31" s="20">
        <v>4</v>
      </c>
      <c r="K31" s="26"/>
      <c r="L31" s="20">
        <v>7</v>
      </c>
      <c r="M31" s="19" t="s">
        <v>93</v>
      </c>
      <c r="N31" s="19" t="s">
        <v>300</v>
      </c>
      <c r="O31" s="26"/>
      <c r="P31" s="20">
        <v>3</v>
      </c>
      <c r="Q31" s="19" t="s">
        <v>69</v>
      </c>
      <c r="R31" s="19" t="s">
        <v>57</v>
      </c>
      <c r="S31" s="20">
        <v>1</v>
      </c>
      <c r="T31" s="19" t="s">
        <v>58</v>
      </c>
      <c r="U31" s="19" t="s">
        <v>93</v>
      </c>
      <c r="V31" s="20">
        <v>2</v>
      </c>
      <c r="W31" s="19" t="s">
        <v>45</v>
      </c>
      <c r="X31" s="20">
        <v>3</v>
      </c>
      <c r="Y31" s="20">
        <v>4</v>
      </c>
      <c r="Z31" s="19" t="s">
        <v>203</v>
      </c>
      <c r="AA31" s="20">
        <v>2</v>
      </c>
      <c r="AB31" s="19" t="s">
        <v>34</v>
      </c>
      <c r="AC31" s="19" t="s">
        <v>34</v>
      </c>
      <c r="AD31" s="19" t="s">
        <v>301</v>
      </c>
      <c r="AE31" s="19" t="s">
        <v>302</v>
      </c>
      <c r="AF31" s="35"/>
      <c r="AG31" s="9"/>
      <c r="AH31" s="9"/>
      <c r="AI31" s="9"/>
      <c r="AJ31" s="9"/>
      <c r="AK31" s="9"/>
    </row>
    <row r="32" ht="22.5" customHeight="1" spans="1:37">
      <c r="A32" s="15">
        <v>46196.740539838</v>
      </c>
      <c r="B32" s="16" t="s">
        <v>303</v>
      </c>
      <c r="C32" s="16" t="s">
        <v>63</v>
      </c>
      <c r="D32" s="16" t="s">
        <v>304</v>
      </c>
      <c r="E32" s="16" t="s">
        <v>34</v>
      </c>
      <c r="F32" s="16" t="s">
        <v>305</v>
      </c>
      <c r="G32" s="16" t="s">
        <v>52</v>
      </c>
      <c r="H32" s="17">
        <v>6</v>
      </c>
      <c r="I32" s="16" t="s">
        <v>306</v>
      </c>
      <c r="J32" s="17">
        <v>3</v>
      </c>
      <c r="K32" s="16" t="s">
        <v>307</v>
      </c>
      <c r="L32" s="17">
        <v>8</v>
      </c>
      <c r="M32" s="16" t="s">
        <v>308</v>
      </c>
      <c r="N32" s="16" t="s">
        <v>309</v>
      </c>
      <c r="O32" s="16" t="s">
        <v>310</v>
      </c>
      <c r="P32" s="17">
        <v>3</v>
      </c>
      <c r="Q32" s="16" t="s">
        <v>42</v>
      </c>
      <c r="R32" s="16" t="s">
        <v>34</v>
      </c>
      <c r="S32" s="17">
        <v>4</v>
      </c>
      <c r="T32" s="16" t="s">
        <v>58</v>
      </c>
      <c r="U32" s="16" t="s">
        <v>311</v>
      </c>
      <c r="V32" s="17">
        <v>4</v>
      </c>
      <c r="W32" s="16" t="s">
        <v>114</v>
      </c>
      <c r="X32" s="17">
        <v>4</v>
      </c>
      <c r="Y32" s="17">
        <v>3</v>
      </c>
      <c r="Z32" s="16" t="s">
        <v>46</v>
      </c>
      <c r="AA32" s="17">
        <v>1</v>
      </c>
      <c r="AB32" s="16" t="s">
        <v>34</v>
      </c>
      <c r="AC32" s="16" t="s">
        <v>34</v>
      </c>
      <c r="AD32" s="16" t="s">
        <v>312</v>
      </c>
      <c r="AE32" s="16" t="s">
        <v>313</v>
      </c>
      <c r="AF32" s="36"/>
      <c r="AG32" s="9"/>
      <c r="AH32" s="9"/>
      <c r="AI32" s="9"/>
      <c r="AJ32" s="9"/>
      <c r="AK32" s="9"/>
    </row>
    <row r="33" ht="22.5" customHeight="1" spans="1:37">
      <c r="A33" s="18">
        <v>46194.6603237963</v>
      </c>
      <c r="B33" s="19" t="s">
        <v>314</v>
      </c>
      <c r="C33" s="26"/>
      <c r="D33" s="19" t="s">
        <v>315</v>
      </c>
      <c r="E33" s="19" t="s">
        <v>34</v>
      </c>
      <c r="F33" s="19" t="s">
        <v>93</v>
      </c>
      <c r="G33" s="19" t="s">
        <v>52</v>
      </c>
      <c r="H33" s="20">
        <v>8</v>
      </c>
      <c r="I33" s="19" t="s">
        <v>316</v>
      </c>
      <c r="J33" s="20">
        <v>1</v>
      </c>
      <c r="K33" s="26"/>
      <c r="L33" s="20">
        <v>10</v>
      </c>
      <c r="M33" s="19" t="s">
        <v>317</v>
      </c>
      <c r="N33" s="19" t="s">
        <v>318</v>
      </c>
      <c r="O33" s="26"/>
      <c r="P33" s="20">
        <v>4</v>
      </c>
      <c r="Q33" s="19" t="s">
        <v>42</v>
      </c>
      <c r="R33" s="19" t="s">
        <v>34</v>
      </c>
      <c r="S33" s="20">
        <v>3</v>
      </c>
      <c r="T33" s="19" t="s">
        <v>58</v>
      </c>
      <c r="U33" s="19" t="s">
        <v>319</v>
      </c>
      <c r="V33" s="20">
        <v>4</v>
      </c>
      <c r="W33" s="19" t="s">
        <v>45</v>
      </c>
      <c r="X33" s="20">
        <v>4</v>
      </c>
      <c r="Y33" s="20">
        <v>3</v>
      </c>
      <c r="Z33" s="19" t="s">
        <v>320</v>
      </c>
      <c r="AA33" s="20">
        <v>2</v>
      </c>
      <c r="AB33" s="19" t="s">
        <v>34</v>
      </c>
      <c r="AC33" s="19" t="s">
        <v>34</v>
      </c>
      <c r="AD33" s="19" t="s">
        <v>321</v>
      </c>
      <c r="AE33" s="19" t="s">
        <v>322</v>
      </c>
      <c r="AF33" s="35"/>
      <c r="AG33" s="9"/>
      <c r="AH33" s="9"/>
      <c r="AI33" s="9"/>
      <c r="AJ33" s="9"/>
      <c r="AK33" s="9"/>
    </row>
    <row r="34" ht="22.5" customHeight="1" spans="1:37">
      <c r="A34" s="15">
        <v>46196.5517217245</v>
      </c>
      <c r="B34" s="16" t="s">
        <v>323</v>
      </c>
      <c r="C34" s="16" t="s">
        <v>32</v>
      </c>
      <c r="D34" s="16" t="s">
        <v>324</v>
      </c>
      <c r="E34" s="16" t="s">
        <v>34</v>
      </c>
      <c r="F34" s="16" t="s">
        <v>325</v>
      </c>
      <c r="G34" s="16" t="s">
        <v>52</v>
      </c>
      <c r="H34" s="17">
        <v>5</v>
      </c>
      <c r="I34" s="16" t="s">
        <v>326</v>
      </c>
      <c r="J34" s="17">
        <v>4</v>
      </c>
      <c r="K34" s="16" t="s">
        <v>327</v>
      </c>
      <c r="L34" s="17">
        <v>3</v>
      </c>
      <c r="M34" s="16" t="s">
        <v>328</v>
      </c>
      <c r="N34" s="16" t="s">
        <v>329</v>
      </c>
      <c r="O34" s="16" t="s">
        <v>330</v>
      </c>
      <c r="P34" s="17">
        <v>3</v>
      </c>
      <c r="Q34" s="16" t="s">
        <v>69</v>
      </c>
      <c r="R34" s="16" t="s">
        <v>34</v>
      </c>
      <c r="S34" s="17">
        <v>4</v>
      </c>
      <c r="T34" s="16" t="s">
        <v>58</v>
      </c>
      <c r="U34" s="16" t="s">
        <v>331</v>
      </c>
      <c r="V34" s="17">
        <v>4</v>
      </c>
      <c r="W34" s="16" t="s">
        <v>45</v>
      </c>
      <c r="X34" s="17">
        <v>1</v>
      </c>
      <c r="Y34" s="17">
        <v>2</v>
      </c>
      <c r="Z34" s="16" t="s">
        <v>60</v>
      </c>
      <c r="AA34" s="17">
        <v>5</v>
      </c>
      <c r="AB34" s="16" t="s">
        <v>332</v>
      </c>
      <c r="AC34" s="16" t="s">
        <v>57</v>
      </c>
      <c r="AD34" s="16" t="s">
        <v>333</v>
      </c>
      <c r="AE34" s="16" t="s">
        <v>334</v>
      </c>
      <c r="AF34" s="36"/>
      <c r="AG34" s="9"/>
      <c r="AH34" s="9"/>
      <c r="AI34" s="9"/>
      <c r="AJ34" s="9"/>
      <c r="AK34" s="9"/>
    </row>
    <row r="35" ht="22.5" customHeight="1" spans="1:37">
      <c r="A35" s="18">
        <v>46196.9728003356</v>
      </c>
      <c r="B35" s="19" t="s">
        <v>335</v>
      </c>
      <c r="C35" s="19" t="s">
        <v>32</v>
      </c>
      <c r="D35" s="19" t="s">
        <v>121</v>
      </c>
      <c r="E35" s="19" t="s">
        <v>57</v>
      </c>
      <c r="F35" s="19" t="s">
        <v>336</v>
      </c>
      <c r="G35" s="19" t="s">
        <v>36</v>
      </c>
      <c r="H35" s="20">
        <v>6</v>
      </c>
      <c r="I35" s="19" t="s">
        <v>337</v>
      </c>
      <c r="J35" s="20">
        <v>4</v>
      </c>
      <c r="K35" s="19" t="s">
        <v>338</v>
      </c>
      <c r="L35" s="20">
        <v>7</v>
      </c>
      <c r="M35" s="19" t="s">
        <v>339</v>
      </c>
      <c r="N35" s="19" t="s">
        <v>340</v>
      </c>
      <c r="O35" s="19" t="s">
        <v>341</v>
      </c>
      <c r="P35" s="20">
        <v>4</v>
      </c>
      <c r="Q35" s="19" t="s">
        <v>42</v>
      </c>
      <c r="R35" s="19" t="s">
        <v>34</v>
      </c>
      <c r="S35" s="20">
        <v>1</v>
      </c>
      <c r="T35" s="19" t="s">
        <v>43</v>
      </c>
      <c r="U35" s="19" t="s">
        <v>342</v>
      </c>
      <c r="V35" s="20">
        <v>1</v>
      </c>
      <c r="W35" s="19" t="s">
        <v>45</v>
      </c>
      <c r="X35" s="20">
        <v>1</v>
      </c>
      <c r="Y35" s="20">
        <v>4</v>
      </c>
      <c r="Z35" s="19" t="s">
        <v>60</v>
      </c>
      <c r="AA35" s="20">
        <v>5</v>
      </c>
      <c r="AB35" s="19" t="s">
        <v>57</v>
      </c>
      <c r="AC35" s="19" t="s">
        <v>57</v>
      </c>
      <c r="AD35" s="19" t="s">
        <v>343</v>
      </c>
      <c r="AE35" s="19" t="s">
        <v>344</v>
      </c>
      <c r="AF35" s="35"/>
      <c r="AG35" s="9"/>
      <c r="AH35" s="9"/>
      <c r="AI35" s="9"/>
      <c r="AJ35" s="9"/>
      <c r="AK35" s="9"/>
    </row>
    <row r="36" ht="22.5" customHeight="1" spans="1:37">
      <c r="A36" s="15">
        <v>46194.7815948843</v>
      </c>
      <c r="B36" s="16" t="s">
        <v>345</v>
      </c>
      <c r="C36" s="22"/>
      <c r="D36" s="16" t="s">
        <v>346</v>
      </c>
      <c r="E36" s="16" t="s">
        <v>34</v>
      </c>
      <c r="F36" s="16" t="s">
        <v>347</v>
      </c>
      <c r="G36" s="16" t="s">
        <v>36</v>
      </c>
      <c r="H36" s="17">
        <v>7</v>
      </c>
      <c r="I36" s="16" t="s">
        <v>348</v>
      </c>
      <c r="J36" s="17">
        <v>7</v>
      </c>
      <c r="K36" s="22"/>
      <c r="L36" s="17">
        <v>5</v>
      </c>
      <c r="M36" s="16" t="s">
        <v>349</v>
      </c>
      <c r="N36" s="16" t="s">
        <v>350</v>
      </c>
      <c r="O36" s="22"/>
      <c r="P36" s="17">
        <v>4</v>
      </c>
      <c r="Q36" s="16" t="s">
        <v>69</v>
      </c>
      <c r="R36" s="16" t="s">
        <v>34</v>
      </c>
      <c r="S36" s="17">
        <v>1</v>
      </c>
      <c r="T36" s="16" t="s">
        <v>43</v>
      </c>
      <c r="U36" s="16" t="s">
        <v>351</v>
      </c>
      <c r="V36" s="17">
        <v>3</v>
      </c>
      <c r="W36" s="16" t="s">
        <v>45</v>
      </c>
      <c r="X36" s="17">
        <v>3</v>
      </c>
      <c r="Y36" s="17">
        <v>4</v>
      </c>
      <c r="Z36" s="16" t="s">
        <v>203</v>
      </c>
      <c r="AA36" s="17">
        <v>3</v>
      </c>
      <c r="AB36" s="16" t="s">
        <v>57</v>
      </c>
      <c r="AC36" s="16" t="s">
        <v>57</v>
      </c>
      <c r="AD36" s="16" t="s">
        <v>352</v>
      </c>
      <c r="AE36" s="16" t="s">
        <v>302</v>
      </c>
      <c r="AF36" s="36"/>
      <c r="AG36" s="9"/>
      <c r="AH36" s="9"/>
      <c r="AI36" s="9"/>
      <c r="AJ36" s="9"/>
      <c r="AK36" s="9"/>
    </row>
    <row r="37" ht="22.5" customHeight="1" spans="1:37">
      <c r="A37" s="18">
        <v>46195.6227874769</v>
      </c>
      <c r="B37" s="19" t="s">
        <v>353</v>
      </c>
      <c r="C37" s="19" t="s">
        <v>32</v>
      </c>
      <c r="D37" s="19" t="s">
        <v>354</v>
      </c>
      <c r="E37" s="19" t="s">
        <v>57</v>
      </c>
      <c r="F37" s="19" t="s">
        <v>355</v>
      </c>
      <c r="G37" s="19" t="s">
        <v>36</v>
      </c>
      <c r="H37" s="20">
        <v>3</v>
      </c>
      <c r="I37" s="19" t="s">
        <v>356</v>
      </c>
      <c r="J37" s="20">
        <v>4</v>
      </c>
      <c r="K37" s="19" t="s">
        <v>357</v>
      </c>
      <c r="L37" s="20">
        <v>3</v>
      </c>
      <c r="M37" s="19" t="s">
        <v>358</v>
      </c>
      <c r="N37" s="19" t="s">
        <v>359</v>
      </c>
      <c r="O37" s="19" t="s">
        <v>360</v>
      </c>
      <c r="P37" s="20">
        <v>3</v>
      </c>
      <c r="Q37" s="19" t="s">
        <v>69</v>
      </c>
      <c r="R37" s="19" t="s">
        <v>34</v>
      </c>
      <c r="S37" s="20">
        <v>1</v>
      </c>
      <c r="T37" s="19" t="s">
        <v>150</v>
      </c>
      <c r="U37" s="19" t="s">
        <v>361</v>
      </c>
      <c r="V37" s="20">
        <v>4</v>
      </c>
      <c r="W37" s="19" t="s">
        <v>45</v>
      </c>
      <c r="X37" s="20">
        <v>3</v>
      </c>
      <c r="Y37" s="20">
        <v>3</v>
      </c>
      <c r="Z37" s="19" t="s">
        <v>203</v>
      </c>
      <c r="AA37" s="20">
        <v>5</v>
      </c>
      <c r="AB37" s="19" t="s">
        <v>57</v>
      </c>
      <c r="AC37" s="19" t="s">
        <v>57</v>
      </c>
      <c r="AD37" s="19" t="s">
        <v>362</v>
      </c>
      <c r="AE37" s="19" t="s">
        <v>363</v>
      </c>
      <c r="AF37" s="35"/>
      <c r="AG37" s="9"/>
      <c r="AH37" s="9"/>
      <c r="AI37" s="9"/>
      <c r="AJ37" s="9"/>
      <c r="AK37" s="9"/>
    </row>
    <row r="38" ht="22.5" customHeight="1" spans="1:37">
      <c r="A38" s="15">
        <v>46194.7177414005</v>
      </c>
      <c r="B38" s="16" t="s">
        <v>364</v>
      </c>
      <c r="C38" s="22"/>
      <c r="D38" s="16" t="s">
        <v>365</v>
      </c>
      <c r="E38" s="16" t="s">
        <v>57</v>
      </c>
      <c r="F38" s="16" t="s">
        <v>366</v>
      </c>
      <c r="G38" s="16" t="s">
        <v>36</v>
      </c>
      <c r="H38" s="17">
        <v>2</v>
      </c>
      <c r="I38" s="16" t="s">
        <v>93</v>
      </c>
      <c r="J38" s="17">
        <v>1</v>
      </c>
      <c r="K38" s="22"/>
      <c r="L38" s="17">
        <v>1</v>
      </c>
      <c r="M38" s="16" t="s">
        <v>93</v>
      </c>
      <c r="N38" s="16" t="s">
        <v>367</v>
      </c>
      <c r="O38" s="22"/>
      <c r="P38" s="17">
        <v>2</v>
      </c>
      <c r="Q38" s="16" t="s">
        <v>141</v>
      </c>
      <c r="R38" s="16" t="s">
        <v>34</v>
      </c>
      <c r="S38" s="17">
        <v>2</v>
      </c>
      <c r="T38" s="16" t="s">
        <v>112</v>
      </c>
      <c r="U38" s="16" t="s">
        <v>368</v>
      </c>
      <c r="V38" s="17">
        <v>1</v>
      </c>
      <c r="W38" s="16" t="s">
        <v>45</v>
      </c>
      <c r="X38" s="17">
        <v>2</v>
      </c>
      <c r="Y38" s="17">
        <v>3</v>
      </c>
      <c r="Z38" s="16" t="s">
        <v>60</v>
      </c>
      <c r="AA38" s="17">
        <v>4</v>
      </c>
      <c r="AB38" s="16" t="s">
        <v>57</v>
      </c>
      <c r="AC38" s="16" t="s">
        <v>57</v>
      </c>
      <c r="AD38" s="16" t="s">
        <v>369</v>
      </c>
      <c r="AE38" s="22"/>
      <c r="AF38" s="36"/>
      <c r="AG38" s="9"/>
      <c r="AH38" s="9"/>
      <c r="AI38" s="9"/>
      <c r="AJ38" s="9"/>
      <c r="AK38" s="9"/>
    </row>
    <row r="39" ht="22.5" customHeight="1" spans="1:37">
      <c r="A39" s="37">
        <v>46194.6638450231</v>
      </c>
      <c r="B39" s="38" t="s">
        <v>370</v>
      </c>
      <c r="C39" s="34"/>
      <c r="D39" s="38" t="s">
        <v>371</v>
      </c>
      <c r="E39" s="38" t="s">
        <v>57</v>
      </c>
      <c r="F39" s="38" t="s">
        <v>372</v>
      </c>
      <c r="G39" s="38" t="s">
        <v>52</v>
      </c>
      <c r="H39" s="39">
        <v>6</v>
      </c>
      <c r="I39" s="38" t="s">
        <v>373</v>
      </c>
      <c r="J39" s="39">
        <v>7</v>
      </c>
      <c r="K39" s="34"/>
      <c r="L39" s="39">
        <v>5</v>
      </c>
      <c r="M39" s="38" t="s">
        <v>93</v>
      </c>
      <c r="N39" s="38" t="s">
        <v>374</v>
      </c>
      <c r="O39" s="34"/>
      <c r="P39" s="39">
        <v>4</v>
      </c>
      <c r="Q39" s="38" t="s">
        <v>69</v>
      </c>
      <c r="R39" s="38" t="s">
        <v>34</v>
      </c>
      <c r="S39" s="39">
        <v>3</v>
      </c>
      <c r="T39" s="38" t="s">
        <v>58</v>
      </c>
      <c r="U39" s="38" t="s">
        <v>375</v>
      </c>
      <c r="V39" s="39">
        <v>2</v>
      </c>
      <c r="W39" s="38" t="s">
        <v>45</v>
      </c>
      <c r="X39" s="39">
        <v>3</v>
      </c>
      <c r="Y39" s="39">
        <v>3</v>
      </c>
      <c r="Z39" s="38" t="s">
        <v>60</v>
      </c>
      <c r="AA39" s="39">
        <v>3</v>
      </c>
      <c r="AB39" s="38" t="s">
        <v>57</v>
      </c>
      <c r="AC39" s="38" t="s">
        <v>57</v>
      </c>
      <c r="AD39" s="38" t="s">
        <v>376</v>
      </c>
      <c r="AE39" s="38" t="s">
        <v>377</v>
      </c>
      <c r="AF39" s="40"/>
      <c r="AG39" s="9"/>
      <c r="AH39" s="9"/>
      <c r="AI39" s="9"/>
      <c r="AJ39" s="9"/>
      <c r="AK39" s="9"/>
    </row>
    <row r="40" ht="13.2" spans="1:37">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row>
    <row r="41" ht="13.2" spans="1:37">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row>
    <row r="42" ht="13.2" spans="1:37">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row>
    <row r="43" ht="13.2" spans="1:37">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row>
    <row r="44" ht="13.2" spans="1:37">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row>
    <row r="45" ht="13.2" spans="1:37">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row>
    <row r="46" ht="13.2" spans="1:37">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row>
    <row r="47" ht="13.2" spans="1:37">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row>
    <row r="48" ht="13.2" spans="1:37">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row>
    <row r="49" ht="13.2" spans="1:37">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row>
    <row r="50" ht="13.2" spans="1:37">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row>
    <row r="51" ht="13.2" spans="1:37">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row>
    <row r="52" ht="13.2" spans="1:37">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row>
    <row r="53" ht="13.2" spans="1:37">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row>
    <row r="54" ht="13.2" spans="1:37">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row>
    <row r="55" ht="13.2" spans="1:37">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row>
    <row r="56" ht="13.2" spans="1:37">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row>
    <row r="57" ht="13.2" spans="1:37">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row>
    <row r="58" ht="13.2" spans="1:37">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row>
    <row r="59" ht="13.2" spans="1:37">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row>
    <row r="60" ht="13.2" spans="1:37">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row>
    <row r="61" ht="13.2" spans="1:37">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row>
    <row r="62" ht="13.2" spans="1:37">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row>
    <row r="63" ht="13.2" spans="1:37">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row>
    <row r="64" ht="13.2" spans="1:37">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row>
    <row r="65" ht="13.2" spans="1:37">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row>
    <row r="66" ht="13.2" spans="1:37">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row>
    <row r="67" ht="13.2" spans="1:3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row>
    <row r="68" ht="13.2" spans="1:37">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row>
    <row r="69" ht="13.2" spans="1:37">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row>
    <row r="70" ht="13.2" spans="1:37">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row>
    <row r="71" ht="13.2" spans="1:37">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row>
    <row r="72" ht="13.2" spans="1:37">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row>
    <row r="73" ht="13.2" spans="1:37">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row>
    <row r="74" ht="13.2" spans="1:37">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row>
    <row r="75" ht="13.2" spans="1:37">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row>
    <row r="76" ht="13.2" spans="1:37">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row>
    <row r="77" ht="13.2" spans="1:3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row>
    <row r="78" ht="13.2" spans="1:37">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row>
    <row r="79" ht="13.2" spans="1:37">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row>
    <row r="80" ht="13.2" spans="1:37">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row>
    <row r="81" ht="13.2" spans="1:37">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row>
    <row r="82" ht="13.2" spans="1:37">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row>
    <row r="83" ht="13.2" spans="1:37">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row>
    <row r="84" ht="13.2" spans="1:37">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row>
    <row r="85" ht="13.2" spans="1:37">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row>
    <row r="86" ht="13.2" spans="1:37">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row>
    <row r="87" ht="13.2" spans="1:3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row>
    <row r="88" ht="13.2" spans="1:37">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row>
    <row r="89" ht="13.2" spans="1:37">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row>
    <row r="90" ht="13.2" spans="1:37">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row>
    <row r="91" ht="13.2" spans="1:37">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row>
    <row r="92" ht="13.2" spans="1:37">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row>
    <row r="93" ht="13.2" spans="1:37">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row>
    <row r="94" ht="13.2" spans="1:37">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row>
    <row r="95" ht="13.2" spans="1:37">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row>
    <row r="96" ht="13.2" spans="1:37">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row>
    <row r="97" ht="13.2" spans="1:3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row>
    <row r="98" ht="13.2" spans="1:37">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row>
    <row r="99" ht="13.2" spans="1:37">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row>
    <row r="100" ht="13.2" spans="1:37">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row>
    <row r="101" ht="13.2" spans="1:37">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row>
    <row r="102" ht="13.2" spans="1:37">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row>
    <row r="103" ht="13.2" spans="1:37">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row>
    <row r="104" ht="13.2" spans="1:37">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row>
    <row r="105" ht="13.2" spans="1:37">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row>
    <row r="106" ht="13.2" spans="1:37">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row>
    <row r="107" ht="13.2" spans="1:3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row>
    <row r="108" ht="13.2" spans="1:37">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row>
    <row r="109" ht="13.2" spans="1:37">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row>
    <row r="110" ht="13.2" spans="1:37">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row>
    <row r="111" ht="13.2" spans="1:37">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row>
    <row r="112" ht="13.2" spans="1:37">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row>
    <row r="113" ht="13.2" spans="1:37">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row>
    <row r="114" ht="13.2" spans="1:37">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row>
    <row r="115" ht="13.2" spans="1:37">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row>
    <row r="116" ht="13.2" spans="1:37">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row>
  </sheetData>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E39"/>
  <sheetViews>
    <sheetView workbookViewId="0">
      <pane ySplit="1" topLeftCell="A2" activePane="bottomLeft" state="frozen"/>
      <selection/>
      <selection pane="bottomLeft" activeCell="AL20" sqref="AL20"/>
    </sheetView>
  </sheetViews>
  <sheetFormatPr defaultColWidth="12.6296296296296" defaultRowHeight="15.75" customHeight="1"/>
  <cols>
    <col min="1" max="1" width="18.4444444444444"/>
    <col min="2" max="2" width="27" customWidth="1"/>
    <col min="4" max="4" width="36.6296296296296" customWidth="1"/>
  </cols>
  <sheetData>
    <row r="1" ht="22.5" customHeight="1" spans="1:31">
      <c r="A1" s="30" t="s">
        <v>0</v>
      </c>
      <c r="B1" s="30" t="s">
        <v>1</v>
      </c>
      <c r="C1" s="30" t="s">
        <v>2</v>
      </c>
      <c r="D1" s="30" t="s">
        <v>3</v>
      </c>
      <c r="E1" s="30" t="s">
        <v>4</v>
      </c>
      <c r="F1" s="30" t="s">
        <v>5</v>
      </c>
      <c r="G1" s="30" t="s">
        <v>6</v>
      </c>
      <c r="H1" s="30" t="s">
        <v>7</v>
      </c>
      <c r="I1" s="30" t="s">
        <v>8</v>
      </c>
      <c r="J1" s="30" t="s">
        <v>9</v>
      </c>
      <c r="K1" s="30" t="s">
        <v>10</v>
      </c>
      <c r="L1" s="30" t="s">
        <v>11</v>
      </c>
      <c r="M1" s="30" t="s">
        <v>12</v>
      </c>
      <c r="N1" s="30" t="s">
        <v>13</v>
      </c>
      <c r="O1" s="30" t="s">
        <v>378</v>
      </c>
      <c r="P1" s="30" t="s">
        <v>15</v>
      </c>
      <c r="Q1" s="30" t="s">
        <v>379</v>
      </c>
      <c r="R1" s="30" t="s">
        <v>380</v>
      </c>
      <c r="S1" s="30" t="s">
        <v>381</v>
      </c>
      <c r="T1" s="30" t="s">
        <v>382</v>
      </c>
      <c r="U1" s="30" t="s">
        <v>20</v>
      </c>
      <c r="V1" s="30" t="s">
        <v>383</v>
      </c>
      <c r="W1" s="30" t="s">
        <v>384</v>
      </c>
      <c r="X1" s="30" t="s">
        <v>385</v>
      </c>
      <c r="Y1" s="30" t="s">
        <v>386</v>
      </c>
      <c r="Z1" s="30" t="s">
        <v>387</v>
      </c>
      <c r="AA1" s="30" t="s">
        <v>388</v>
      </c>
      <c r="AB1" s="30" t="s">
        <v>389</v>
      </c>
      <c r="AC1" s="30" t="s">
        <v>28</v>
      </c>
      <c r="AD1" s="30" t="s">
        <v>29</v>
      </c>
      <c r="AE1" s="30" t="s">
        <v>30</v>
      </c>
    </row>
    <row r="2" ht="22.5" customHeight="1" spans="1:31">
      <c r="A2" s="10">
        <v>46194.6750348727</v>
      </c>
      <c r="B2" s="11" t="s">
        <v>49</v>
      </c>
      <c r="C2" s="27" t="s">
        <v>63</v>
      </c>
      <c r="D2" s="11" t="s">
        <v>50</v>
      </c>
      <c r="E2" s="11" t="s">
        <v>34</v>
      </c>
      <c r="F2" s="11" t="s">
        <v>51</v>
      </c>
      <c r="G2" s="11" t="s">
        <v>52</v>
      </c>
      <c r="H2" s="12">
        <v>7</v>
      </c>
      <c r="I2" s="11" t="s">
        <v>53</v>
      </c>
      <c r="J2" s="12">
        <v>6</v>
      </c>
      <c r="K2" s="23"/>
      <c r="L2" s="12">
        <v>7</v>
      </c>
      <c r="M2" s="11" t="s">
        <v>54</v>
      </c>
      <c r="N2" s="11" t="s">
        <v>55</v>
      </c>
      <c r="O2" s="23"/>
      <c r="P2" s="12">
        <v>4</v>
      </c>
      <c r="Q2" s="11" t="s">
        <v>56</v>
      </c>
      <c r="R2" s="11" t="s">
        <v>57</v>
      </c>
      <c r="S2" s="12">
        <v>4</v>
      </c>
      <c r="T2" s="11" t="s">
        <v>58</v>
      </c>
      <c r="U2" s="11" t="s">
        <v>59</v>
      </c>
      <c r="V2" s="12">
        <v>4</v>
      </c>
      <c r="W2" s="11" t="s">
        <v>45</v>
      </c>
      <c r="X2" s="12">
        <v>5</v>
      </c>
      <c r="Y2" s="12">
        <v>4</v>
      </c>
      <c r="Z2" s="11" t="s">
        <v>60</v>
      </c>
      <c r="AA2" s="12">
        <v>4</v>
      </c>
      <c r="AB2" s="11" t="s">
        <v>34</v>
      </c>
      <c r="AC2" s="11" t="s">
        <v>34</v>
      </c>
      <c r="AD2" s="11" t="s">
        <v>61</v>
      </c>
      <c r="AE2" s="28"/>
    </row>
    <row r="3" ht="22.5" customHeight="1" spans="1:31">
      <c r="A3" s="4">
        <v>46194.8328403356</v>
      </c>
      <c r="B3" s="5" t="s">
        <v>62</v>
      </c>
      <c r="C3" s="5" t="s">
        <v>63</v>
      </c>
      <c r="D3" s="5" t="s">
        <v>390</v>
      </c>
      <c r="E3" s="5" t="s">
        <v>34</v>
      </c>
      <c r="F3" s="5" t="s">
        <v>65</v>
      </c>
      <c r="G3" s="5" t="s">
        <v>52</v>
      </c>
      <c r="H3" s="7">
        <v>9</v>
      </c>
      <c r="I3" s="5" t="s">
        <v>66</v>
      </c>
      <c r="J3" s="7">
        <v>8</v>
      </c>
      <c r="K3" s="7">
        <v>35000</v>
      </c>
      <c r="L3" s="7">
        <v>9</v>
      </c>
      <c r="M3" s="5" t="s">
        <v>67</v>
      </c>
      <c r="N3" s="5" t="s">
        <v>391</v>
      </c>
      <c r="O3" s="6"/>
      <c r="P3" s="7">
        <v>3</v>
      </c>
      <c r="Q3" s="5" t="s">
        <v>69</v>
      </c>
      <c r="R3" s="5" t="s">
        <v>57</v>
      </c>
      <c r="S3" s="7">
        <v>5</v>
      </c>
      <c r="T3" s="5" t="s">
        <v>43</v>
      </c>
      <c r="U3" s="5" t="s">
        <v>70</v>
      </c>
      <c r="V3" s="7">
        <v>5</v>
      </c>
      <c r="W3" s="5" t="s">
        <v>71</v>
      </c>
      <c r="X3" s="7">
        <v>3</v>
      </c>
      <c r="Y3" s="7">
        <v>2</v>
      </c>
      <c r="Z3" s="5" t="s">
        <v>60</v>
      </c>
      <c r="AA3" s="7">
        <v>3</v>
      </c>
      <c r="AB3" s="5" t="s">
        <v>34</v>
      </c>
      <c r="AC3" s="5" t="s">
        <v>34</v>
      </c>
      <c r="AD3" s="5" t="s">
        <v>392</v>
      </c>
      <c r="AE3" s="29"/>
    </row>
    <row r="4" ht="22.5" customHeight="1" spans="1:31">
      <c r="A4" s="10">
        <v>46194.7485617361</v>
      </c>
      <c r="B4" s="11" t="s">
        <v>393</v>
      </c>
      <c r="C4" s="27" t="s">
        <v>32</v>
      </c>
      <c r="D4" s="11" t="s">
        <v>74</v>
      </c>
      <c r="E4" s="11" t="s">
        <v>34</v>
      </c>
      <c r="F4" s="11" t="s">
        <v>75</v>
      </c>
      <c r="G4" s="11" t="s">
        <v>36</v>
      </c>
      <c r="H4" s="12">
        <v>7</v>
      </c>
      <c r="I4" s="11" t="s">
        <v>394</v>
      </c>
      <c r="J4" s="12">
        <v>3</v>
      </c>
      <c r="K4" s="23"/>
      <c r="L4" s="12">
        <v>6</v>
      </c>
      <c r="M4" s="11" t="s">
        <v>77</v>
      </c>
      <c r="N4" s="11" t="s">
        <v>78</v>
      </c>
      <c r="O4" s="23"/>
      <c r="P4" s="12">
        <v>4</v>
      </c>
      <c r="Q4" s="11" t="s">
        <v>69</v>
      </c>
      <c r="R4" s="11" t="s">
        <v>57</v>
      </c>
      <c r="S4" s="12">
        <v>5</v>
      </c>
      <c r="T4" s="11" t="s">
        <v>43</v>
      </c>
      <c r="U4" s="11" t="s">
        <v>79</v>
      </c>
      <c r="V4" s="12">
        <v>4</v>
      </c>
      <c r="W4" s="11" t="s">
        <v>45</v>
      </c>
      <c r="X4" s="12">
        <v>4</v>
      </c>
      <c r="Y4" s="12">
        <v>4</v>
      </c>
      <c r="Z4" s="11" t="s">
        <v>60</v>
      </c>
      <c r="AA4" s="12">
        <v>5</v>
      </c>
      <c r="AB4" s="11" t="s">
        <v>34</v>
      </c>
      <c r="AC4" s="11" t="s">
        <v>34</v>
      </c>
      <c r="AD4" s="11" t="s">
        <v>80</v>
      </c>
      <c r="AE4" s="13" t="s">
        <v>81</v>
      </c>
    </row>
    <row r="5" ht="22.5" customHeight="1" spans="1:31">
      <c r="A5" s="4">
        <v>46196.4787039815</v>
      </c>
      <c r="B5" s="5" t="s">
        <v>285</v>
      </c>
      <c r="C5" s="5" t="s">
        <v>32</v>
      </c>
      <c r="D5" s="5" t="s">
        <v>395</v>
      </c>
      <c r="E5" s="5" t="s">
        <v>57</v>
      </c>
      <c r="F5" s="5" t="s">
        <v>287</v>
      </c>
      <c r="G5" s="5" t="s">
        <v>52</v>
      </c>
      <c r="H5" s="7">
        <v>5</v>
      </c>
      <c r="I5" s="5" t="s">
        <v>288</v>
      </c>
      <c r="J5" s="7">
        <v>1</v>
      </c>
      <c r="K5" s="5" t="s">
        <v>289</v>
      </c>
      <c r="L5" s="7">
        <v>3</v>
      </c>
      <c r="M5" s="5" t="s">
        <v>396</v>
      </c>
      <c r="N5" s="5" t="s">
        <v>397</v>
      </c>
      <c r="O5" s="5" t="s">
        <v>292</v>
      </c>
      <c r="P5" s="7">
        <v>2</v>
      </c>
      <c r="Q5" s="5" t="s">
        <v>141</v>
      </c>
      <c r="R5" s="5" t="s">
        <v>34</v>
      </c>
      <c r="S5" s="7">
        <v>1</v>
      </c>
      <c r="T5" s="5" t="s">
        <v>58</v>
      </c>
      <c r="U5" s="5" t="s">
        <v>293</v>
      </c>
      <c r="V5" s="7">
        <v>1</v>
      </c>
      <c r="W5" s="5" t="s">
        <v>114</v>
      </c>
      <c r="X5" s="7">
        <v>3</v>
      </c>
      <c r="Y5" s="7">
        <v>5</v>
      </c>
      <c r="Z5" s="5" t="s">
        <v>60</v>
      </c>
      <c r="AA5" s="7">
        <v>2</v>
      </c>
      <c r="AB5" s="5" t="s">
        <v>294</v>
      </c>
      <c r="AC5" s="5" t="s">
        <v>57</v>
      </c>
      <c r="AD5" s="5" t="s">
        <v>295</v>
      </c>
      <c r="AE5" s="8" t="s">
        <v>398</v>
      </c>
    </row>
    <row r="6" ht="22.5" customHeight="1" spans="1:31">
      <c r="A6" s="10">
        <v>46194.6603237963</v>
      </c>
      <c r="B6" s="11" t="s">
        <v>399</v>
      </c>
      <c r="C6" s="27" t="s">
        <v>32</v>
      </c>
      <c r="D6" s="11" t="s">
        <v>400</v>
      </c>
      <c r="E6" s="11" t="s">
        <v>34</v>
      </c>
      <c r="F6" s="11" t="s">
        <v>93</v>
      </c>
      <c r="G6" s="11" t="s">
        <v>52</v>
      </c>
      <c r="H6" s="12">
        <v>8</v>
      </c>
      <c r="I6" s="11" t="s">
        <v>316</v>
      </c>
      <c r="J6" s="12">
        <v>1</v>
      </c>
      <c r="K6" s="23"/>
      <c r="L6" s="12">
        <v>10</v>
      </c>
      <c r="M6" s="11" t="s">
        <v>317</v>
      </c>
      <c r="N6" s="11" t="s">
        <v>318</v>
      </c>
      <c r="O6" s="23"/>
      <c r="P6" s="12">
        <v>4</v>
      </c>
      <c r="Q6" s="11" t="s">
        <v>42</v>
      </c>
      <c r="R6" s="11" t="s">
        <v>34</v>
      </c>
      <c r="S6" s="12">
        <v>3</v>
      </c>
      <c r="T6" s="11" t="s">
        <v>58</v>
      </c>
      <c r="U6" s="11" t="s">
        <v>319</v>
      </c>
      <c r="V6" s="12">
        <v>4</v>
      </c>
      <c r="W6" s="11" t="s">
        <v>45</v>
      </c>
      <c r="X6" s="12">
        <v>4</v>
      </c>
      <c r="Y6" s="12">
        <v>3</v>
      </c>
      <c r="Z6" s="11" t="s">
        <v>320</v>
      </c>
      <c r="AA6" s="12">
        <v>2</v>
      </c>
      <c r="AB6" s="11" t="s">
        <v>34</v>
      </c>
      <c r="AC6" s="11" t="s">
        <v>34</v>
      </c>
      <c r="AD6" s="11" t="s">
        <v>321</v>
      </c>
      <c r="AE6" s="13" t="s">
        <v>322</v>
      </c>
    </row>
    <row r="7" ht="22.5" customHeight="1" spans="1:31">
      <c r="A7" s="18">
        <v>46194.8536177315</v>
      </c>
      <c r="B7" s="19" t="s">
        <v>144</v>
      </c>
      <c r="C7" s="19" t="s">
        <v>32</v>
      </c>
      <c r="D7" s="19" t="s">
        <v>145</v>
      </c>
      <c r="E7" s="19" t="s">
        <v>57</v>
      </c>
      <c r="F7" s="19" t="s">
        <v>146</v>
      </c>
      <c r="G7" s="19" t="s">
        <v>36</v>
      </c>
      <c r="H7" s="20">
        <v>1</v>
      </c>
      <c r="I7" s="19" t="s">
        <v>93</v>
      </c>
      <c r="J7" s="20">
        <v>1</v>
      </c>
      <c r="K7" s="19" t="s">
        <v>148</v>
      </c>
      <c r="L7" s="20">
        <v>1</v>
      </c>
      <c r="M7" s="19" t="s">
        <v>93</v>
      </c>
      <c r="N7" s="19" t="s">
        <v>401</v>
      </c>
      <c r="O7" s="19" t="s">
        <v>57</v>
      </c>
      <c r="P7" s="20">
        <v>1</v>
      </c>
      <c r="Q7" s="19" t="s">
        <v>141</v>
      </c>
      <c r="R7" s="19" t="s">
        <v>34</v>
      </c>
      <c r="S7" s="20">
        <v>1</v>
      </c>
      <c r="T7" s="19" t="s">
        <v>150</v>
      </c>
      <c r="U7" s="19" t="s">
        <v>402</v>
      </c>
      <c r="V7" s="20">
        <v>1</v>
      </c>
      <c r="W7" s="19" t="s">
        <v>125</v>
      </c>
      <c r="X7" s="20">
        <v>5</v>
      </c>
      <c r="Y7" s="20">
        <v>5</v>
      </c>
      <c r="Z7" s="19" t="s">
        <v>60</v>
      </c>
      <c r="AA7" s="20">
        <v>1</v>
      </c>
      <c r="AB7" s="19" t="s">
        <v>57</v>
      </c>
      <c r="AC7" s="19" t="s">
        <v>57</v>
      </c>
      <c r="AD7" s="19" t="s">
        <v>152</v>
      </c>
      <c r="AE7" s="19" t="s">
        <v>153</v>
      </c>
    </row>
    <row r="8" ht="22.5" customHeight="1" spans="1:31">
      <c r="A8" s="15">
        <v>46194.7576051157</v>
      </c>
      <c r="B8" s="16" t="s">
        <v>154</v>
      </c>
      <c r="C8" s="21" t="s">
        <v>32</v>
      </c>
      <c r="D8" s="16" t="s">
        <v>155</v>
      </c>
      <c r="E8" s="16" t="s">
        <v>120</v>
      </c>
      <c r="F8" s="16" t="s">
        <v>156</v>
      </c>
      <c r="G8" s="16" t="s">
        <v>36</v>
      </c>
      <c r="H8" s="17">
        <v>3</v>
      </c>
      <c r="I8" s="16" t="s">
        <v>93</v>
      </c>
      <c r="J8" s="17">
        <v>4</v>
      </c>
      <c r="K8" s="22"/>
      <c r="L8" s="17">
        <v>8</v>
      </c>
      <c r="M8" s="16" t="s">
        <v>93</v>
      </c>
      <c r="N8" s="16" t="s">
        <v>157</v>
      </c>
      <c r="O8" s="22"/>
      <c r="P8" s="17">
        <v>3</v>
      </c>
      <c r="Q8" s="16" t="s">
        <v>69</v>
      </c>
      <c r="R8" s="16" t="s">
        <v>34</v>
      </c>
      <c r="S8" s="17">
        <v>1</v>
      </c>
      <c r="T8" s="16" t="s">
        <v>96</v>
      </c>
      <c r="U8" s="16" t="s">
        <v>403</v>
      </c>
      <c r="V8" s="17">
        <v>3</v>
      </c>
      <c r="W8" s="16" t="s">
        <v>125</v>
      </c>
      <c r="X8" s="17">
        <v>5</v>
      </c>
      <c r="Y8" s="17">
        <v>5</v>
      </c>
      <c r="Z8" s="16" t="s">
        <v>60</v>
      </c>
      <c r="AA8" s="17">
        <v>2</v>
      </c>
      <c r="AB8" s="16" t="s">
        <v>57</v>
      </c>
      <c r="AC8" s="16" t="s">
        <v>57</v>
      </c>
      <c r="AD8" s="16" t="s">
        <v>404</v>
      </c>
      <c r="AE8" s="16" t="s">
        <v>160</v>
      </c>
    </row>
    <row r="9" ht="22.5" customHeight="1" spans="1:31">
      <c r="A9" s="4">
        <v>46196.6516369329</v>
      </c>
      <c r="B9" s="5" t="s">
        <v>178</v>
      </c>
      <c r="C9" s="5" t="s">
        <v>32</v>
      </c>
      <c r="D9" s="5" t="s">
        <v>179</v>
      </c>
      <c r="E9" s="5" t="s">
        <v>34</v>
      </c>
      <c r="F9" s="5" t="s">
        <v>180</v>
      </c>
      <c r="G9" s="5" t="s">
        <v>52</v>
      </c>
      <c r="H9" s="7">
        <v>7</v>
      </c>
      <c r="I9" s="5" t="s">
        <v>181</v>
      </c>
      <c r="J9" s="7">
        <v>5</v>
      </c>
      <c r="K9" s="5" t="s">
        <v>182</v>
      </c>
      <c r="L9" s="7">
        <v>8</v>
      </c>
      <c r="M9" s="5" t="s">
        <v>183</v>
      </c>
      <c r="N9" s="5" t="s">
        <v>405</v>
      </c>
      <c r="O9" s="5" t="s">
        <v>81</v>
      </c>
      <c r="P9" s="7">
        <v>4</v>
      </c>
      <c r="Q9" s="5" t="s">
        <v>69</v>
      </c>
      <c r="R9" s="5" t="s">
        <v>34</v>
      </c>
      <c r="S9" s="7">
        <v>3</v>
      </c>
      <c r="T9" s="5" t="s">
        <v>96</v>
      </c>
      <c r="U9" s="5" t="s">
        <v>185</v>
      </c>
      <c r="V9" s="7">
        <v>4</v>
      </c>
      <c r="W9" s="5" t="s">
        <v>114</v>
      </c>
      <c r="X9" s="7">
        <v>4</v>
      </c>
      <c r="Y9" s="7">
        <v>5</v>
      </c>
      <c r="Z9" s="5" t="s">
        <v>103</v>
      </c>
      <c r="AA9" s="7">
        <v>4</v>
      </c>
      <c r="AB9" s="5" t="s">
        <v>57</v>
      </c>
      <c r="AC9" s="5" t="s">
        <v>57</v>
      </c>
      <c r="AD9" s="5" t="s">
        <v>406</v>
      </c>
      <c r="AE9" s="5" t="s">
        <v>187</v>
      </c>
    </row>
    <row r="10" ht="22.5" customHeight="1" spans="1:31">
      <c r="A10" s="10">
        <v>46196.700433287</v>
      </c>
      <c r="B10" s="11" t="s">
        <v>188</v>
      </c>
      <c r="C10" s="11" t="s">
        <v>63</v>
      </c>
      <c r="D10" s="11" t="s">
        <v>189</v>
      </c>
      <c r="E10" s="11" t="s">
        <v>34</v>
      </c>
      <c r="F10" s="11" t="s">
        <v>407</v>
      </c>
      <c r="G10" s="11" t="s">
        <v>36</v>
      </c>
      <c r="H10" s="12">
        <v>8</v>
      </c>
      <c r="I10" s="11" t="s">
        <v>93</v>
      </c>
      <c r="J10" s="12">
        <v>4</v>
      </c>
      <c r="K10" s="11" t="s">
        <v>191</v>
      </c>
      <c r="L10" s="12">
        <v>9</v>
      </c>
      <c r="M10" s="11" t="s">
        <v>93</v>
      </c>
      <c r="N10" s="11" t="s">
        <v>192</v>
      </c>
      <c r="O10" s="23"/>
      <c r="P10" s="12">
        <v>5</v>
      </c>
      <c r="Q10" s="11" t="s">
        <v>42</v>
      </c>
      <c r="R10" s="11" t="s">
        <v>34</v>
      </c>
      <c r="S10" s="12">
        <v>4</v>
      </c>
      <c r="T10" s="11" t="s">
        <v>58</v>
      </c>
      <c r="U10" s="11" t="s">
        <v>408</v>
      </c>
      <c r="V10" s="12">
        <v>5</v>
      </c>
      <c r="W10" s="11" t="s">
        <v>125</v>
      </c>
      <c r="X10" s="12">
        <v>5</v>
      </c>
      <c r="Y10" s="12">
        <v>5</v>
      </c>
      <c r="Z10" s="11" t="s">
        <v>60</v>
      </c>
      <c r="AA10" s="12">
        <v>5</v>
      </c>
      <c r="AB10" s="11" t="s">
        <v>34</v>
      </c>
      <c r="AC10" s="11" t="s">
        <v>34</v>
      </c>
      <c r="AD10" s="11" t="s">
        <v>194</v>
      </c>
      <c r="AE10" s="11" t="s">
        <v>409</v>
      </c>
    </row>
    <row r="11" ht="22.5" customHeight="1" spans="1:31">
      <c r="A11" s="4">
        <v>46196.7975450463</v>
      </c>
      <c r="B11" s="5" t="s">
        <v>410</v>
      </c>
      <c r="C11" s="5" t="s">
        <v>32</v>
      </c>
      <c r="D11" s="5" t="s">
        <v>411</v>
      </c>
      <c r="E11" s="5" t="s">
        <v>34</v>
      </c>
      <c r="F11" s="5" t="s">
        <v>57</v>
      </c>
      <c r="G11" s="5" t="s">
        <v>52</v>
      </c>
      <c r="H11" s="7">
        <v>9</v>
      </c>
      <c r="I11" s="5" t="s">
        <v>93</v>
      </c>
      <c r="J11" s="7">
        <v>3</v>
      </c>
      <c r="K11" s="7">
        <v>12000</v>
      </c>
      <c r="L11" s="7">
        <v>9</v>
      </c>
      <c r="M11" s="5" t="s">
        <v>93</v>
      </c>
      <c r="N11" s="5" t="s">
        <v>412</v>
      </c>
      <c r="O11" s="6"/>
      <c r="P11" s="7">
        <v>5</v>
      </c>
      <c r="Q11" s="5" t="s">
        <v>42</v>
      </c>
      <c r="R11" s="5" t="s">
        <v>57</v>
      </c>
      <c r="S11" s="7">
        <v>5</v>
      </c>
      <c r="T11" s="5" t="s">
        <v>58</v>
      </c>
      <c r="U11" s="5" t="s">
        <v>93</v>
      </c>
      <c r="V11" s="7">
        <v>5</v>
      </c>
      <c r="W11" s="5" t="s">
        <v>45</v>
      </c>
      <c r="X11" s="7">
        <v>4</v>
      </c>
      <c r="Y11" s="7">
        <v>2</v>
      </c>
      <c r="Z11" s="5" t="s">
        <v>46</v>
      </c>
      <c r="AA11" s="7">
        <v>5</v>
      </c>
      <c r="AB11" s="5" t="s">
        <v>34</v>
      </c>
      <c r="AC11" s="5" t="s">
        <v>34</v>
      </c>
      <c r="AD11" s="5" t="s">
        <v>413</v>
      </c>
      <c r="AE11" s="5" t="s">
        <v>275</v>
      </c>
    </row>
    <row r="12" ht="22.5" customHeight="1" spans="1:31">
      <c r="A12" s="10">
        <v>46196.7463596991</v>
      </c>
      <c r="B12" s="11" t="s">
        <v>276</v>
      </c>
      <c r="C12" s="11" t="s">
        <v>32</v>
      </c>
      <c r="D12" s="11" t="s">
        <v>414</v>
      </c>
      <c r="E12" s="11" t="s">
        <v>34</v>
      </c>
      <c r="F12" s="11" t="s">
        <v>93</v>
      </c>
      <c r="G12" s="11" t="s">
        <v>52</v>
      </c>
      <c r="H12" s="12">
        <v>8</v>
      </c>
      <c r="I12" s="11" t="s">
        <v>93</v>
      </c>
      <c r="J12" s="12">
        <v>3</v>
      </c>
      <c r="K12" s="11" t="s">
        <v>278</v>
      </c>
      <c r="L12" s="12">
        <v>9</v>
      </c>
      <c r="M12" s="11" t="s">
        <v>279</v>
      </c>
      <c r="N12" s="11" t="s">
        <v>280</v>
      </c>
      <c r="O12" s="11" t="s">
        <v>281</v>
      </c>
      <c r="P12" s="12">
        <v>4</v>
      </c>
      <c r="Q12" s="11" t="s">
        <v>42</v>
      </c>
      <c r="R12" s="11" t="s">
        <v>34</v>
      </c>
      <c r="S12" s="12">
        <v>4</v>
      </c>
      <c r="T12" s="11" t="s">
        <v>58</v>
      </c>
      <c r="U12" s="11" t="s">
        <v>282</v>
      </c>
      <c r="V12" s="12">
        <v>4</v>
      </c>
      <c r="W12" s="11" t="s">
        <v>71</v>
      </c>
      <c r="X12" s="12">
        <v>3</v>
      </c>
      <c r="Y12" s="12">
        <v>2</v>
      </c>
      <c r="Z12" s="11" t="s">
        <v>60</v>
      </c>
      <c r="AA12" s="12">
        <v>3</v>
      </c>
      <c r="AB12" s="11" t="s">
        <v>34</v>
      </c>
      <c r="AC12" s="11" t="s">
        <v>34</v>
      </c>
      <c r="AD12" s="11" t="s">
        <v>415</v>
      </c>
      <c r="AE12" s="11" t="s">
        <v>284</v>
      </c>
    </row>
    <row r="13" ht="22.5" customHeight="1" spans="1:31">
      <c r="A13" s="4">
        <v>46194.7203824537</v>
      </c>
      <c r="B13" s="5" t="s">
        <v>297</v>
      </c>
      <c r="C13" s="14" t="s">
        <v>63</v>
      </c>
      <c r="D13" s="5" t="s">
        <v>416</v>
      </c>
      <c r="E13" s="5" t="s">
        <v>120</v>
      </c>
      <c r="F13" s="5" t="s">
        <v>93</v>
      </c>
      <c r="G13" s="5" t="s">
        <v>52</v>
      </c>
      <c r="H13" s="7">
        <v>5</v>
      </c>
      <c r="I13" s="5" t="s">
        <v>299</v>
      </c>
      <c r="J13" s="7">
        <v>4</v>
      </c>
      <c r="K13" s="6"/>
      <c r="L13" s="7">
        <v>7</v>
      </c>
      <c r="M13" s="5" t="s">
        <v>93</v>
      </c>
      <c r="N13" s="5" t="s">
        <v>417</v>
      </c>
      <c r="O13" s="6"/>
      <c r="P13" s="7">
        <v>3</v>
      </c>
      <c r="Q13" s="5" t="s">
        <v>69</v>
      </c>
      <c r="R13" s="5" t="s">
        <v>57</v>
      </c>
      <c r="S13" s="7">
        <v>1</v>
      </c>
      <c r="T13" s="5" t="s">
        <v>58</v>
      </c>
      <c r="U13" s="5" t="s">
        <v>93</v>
      </c>
      <c r="V13" s="7">
        <v>2</v>
      </c>
      <c r="W13" s="5" t="s">
        <v>45</v>
      </c>
      <c r="X13" s="7">
        <v>3</v>
      </c>
      <c r="Y13" s="7">
        <v>4</v>
      </c>
      <c r="Z13" s="5" t="s">
        <v>203</v>
      </c>
      <c r="AA13" s="7">
        <v>2</v>
      </c>
      <c r="AB13" s="5" t="s">
        <v>34</v>
      </c>
      <c r="AC13" s="5" t="s">
        <v>34</v>
      </c>
      <c r="AD13" s="5" t="s">
        <v>301</v>
      </c>
      <c r="AE13" s="5" t="s">
        <v>302</v>
      </c>
    </row>
    <row r="14" ht="22.5" customHeight="1" spans="1:31">
      <c r="A14" s="15">
        <v>46196.740539838</v>
      </c>
      <c r="B14" s="16" t="s">
        <v>303</v>
      </c>
      <c r="C14" s="16" t="s">
        <v>63</v>
      </c>
      <c r="D14" s="16" t="s">
        <v>418</v>
      </c>
      <c r="E14" s="16" t="s">
        <v>34</v>
      </c>
      <c r="F14" s="16" t="s">
        <v>305</v>
      </c>
      <c r="G14" s="16" t="s">
        <v>52</v>
      </c>
      <c r="H14" s="17">
        <v>6</v>
      </c>
      <c r="I14" s="16" t="s">
        <v>306</v>
      </c>
      <c r="J14" s="17">
        <v>3</v>
      </c>
      <c r="K14" s="16" t="s">
        <v>307</v>
      </c>
      <c r="L14" s="17">
        <v>8</v>
      </c>
      <c r="M14" s="16" t="s">
        <v>308</v>
      </c>
      <c r="N14" s="16" t="s">
        <v>419</v>
      </c>
      <c r="O14" s="16" t="s">
        <v>310</v>
      </c>
      <c r="P14" s="17">
        <v>3</v>
      </c>
      <c r="Q14" s="16" t="s">
        <v>42</v>
      </c>
      <c r="R14" s="16" t="s">
        <v>34</v>
      </c>
      <c r="S14" s="17">
        <v>4</v>
      </c>
      <c r="T14" s="16" t="s">
        <v>58</v>
      </c>
      <c r="U14" s="16" t="s">
        <v>311</v>
      </c>
      <c r="V14" s="17">
        <v>4</v>
      </c>
      <c r="W14" s="16" t="s">
        <v>114</v>
      </c>
      <c r="X14" s="17">
        <v>4</v>
      </c>
      <c r="Y14" s="17">
        <v>3</v>
      </c>
      <c r="Z14" s="16" t="s">
        <v>46</v>
      </c>
      <c r="AA14" s="17">
        <v>1</v>
      </c>
      <c r="AB14" s="16" t="s">
        <v>34</v>
      </c>
      <c r="AC14" s="16" t="s">
        <v>34</v>
      </c>
      <c r="AD14" s="16" t="s">
        <v>312</v>
      </c>
      <c r="AE14" s="16" t="s">
        <v>313</v>
      </c>
    </row>
    <row r="15" ht="22.5" customHeight="1"/>
    <row r="16" ht="22.5" customHeight="1"/>
    <row r="17" ht="22.5" customHeight="1"/>
    <row r="18" ht="22.5" customHeight="1"/>
    <row r="19" ht="22.5" customHeight="1"/>
    <row r="20" ht="22.5" customHeight="1" spans="1:31">
      <c r="A20" s="31"/>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row>
    <row r="21" ht="22.5" customHeight="1" spans="1:31">
      <c r="A21" s="32"/>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row>
    <row r="22" ht="22.5" customHeight="1" spans="1:31">
      <c r="A22" s="31"/>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row>
    <row r="23" ht="22.5" customHeight="1" spans="1:31">
      <c r="A23" s="32"/>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row>
    <row r="24" ht="22.5" customHeight="1" spans="1:31">
      <c r="A24" s="31"/>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row>
    <row r="25" ht="22.5" customHeight="1" spans="1:31">
      <c r="A25" s="32"/>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row>
    <row r="26" ht="22.5" customHeight="1" spans="1:31">
      <c r="A26" s="31"/>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row>
    <row r="27" ht="22.5" customHeight="1" spans="1:31">
      <c r="A27" s="32"/>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row>
    <row r="28" ht="22.5" customHeight="1" spans="1:31">
      <c r="A28" s="31"/>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row>
    <row r="29" ht="22.5" customHeight="1" spans="1:31">
      <c r="A29" s="32"/>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row>
    <row r="30" ht="22.5" customHeight="1" spans="1:31">
      <c r="A30" s="31"/>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row>
    <row r="31" ht="22.5" customHeight="1" spans="1:31">
      <c r="A31" s="32"/>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row>
    <row r="32" ht="22.5" customHeight="1" spans="1:31">
      <c r="A32" s="31"/>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row>
    <row r="33" ht="22.5" customHeight="1" spans="1:31">
      <c r="A33" s="32"/>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row>
    <row r="34" ht="22.5" customHeight="1" spans="1:31">
      <c r="A34" s="31"/>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row>
    <row r="35" ht="22.5" customHeight="1" spans="1:31">
      <c r="A35" s="32"/>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row>
    <row r="36" ht="22.5" customHeight="1" spans="1:31">
      <c r="A36" s="31"/>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row>
    <row r="37" ht="22.5" customHeight="1" spans="1:31">
      <c r="A37" s="32"/>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row>
    <row r="38" ht="22.5" customHeight="1" spans="1:31">
      <c r="A38" s="31"/>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row>
    <row r="39" ht="22.5" customHeight="1" spans="1:31">
      <c r="A39" s="33"/>
      <c r="B39" s="34"/>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row>
  </sheetData>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4"/>
  <sheetViews>
    <sheetView workbookViewId="0">
      <selection activeCell="F14" sqref="F14"/>
    </sheetView>
  </sheetViews>
  <sheetFormatPr defaultColWidth="8.88888888888889" defaultRowHeight="13.2"/>
  <cols>
    <col min="3" max="3" width="20.7777777777778" customWidth="1"/>
    <col min="4" max="4" width="12.8888888888889"/>
    <col min="10" max="10" width="13.2222222222222" customWidth="1"/>
    <col min="12" max="12" width="12.5555555555556" customWidth="1"/>
  </cols>
  <sheetData>
    <row r="1" spans="1:3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3" t="s">
        <v>30</v>
      </c>
    </row>
    <row r="2" spans="1:31">
      <c r="A2" s="10">
        <v>46194.6750348727</v>
      </c>
      <c r="B2" s="11" t="s">
        <v>49</v>
      </c>
      <c r="C2" s="27" t="s">
        <v>63</v>
      </c>
      <c r="D2" s="11" t="s">
        <v>50</v>
      </c>
      <c r="E2" s="11" t="s">
        <v>34</v>
      </c>
      <c r="F2" s="11" t="s">
        <v>51</v>
      </c>
      <c r="G2" s="11" t="s">
        <v>52</v>
      </c>
      <c r="H2" s="12">
        <v>7</v>
      </c>
      <c r="I2" s="11" t="s">
        <v>53</v>
      </c>
      <c r="J2" s="12">
        <v>6</v>
      </c>
      <c r="K2" s="23"/>
      <c r="L2" s="12">
        <v>7</v>
      </c>
      <c r="M2" s="11" t="s">
        <v>54</v>
      </c>
      <c r="N2" s="11" t="s">
        <v>55</v>
      </c>
      <c r="O2" s="23"/>
      <c r="P2" s="12">
        <v>4</v>
      </c>
      <c r="Q2" s="11" t="s">
        <v>56</v>
      </c>
      <c r="R2" s="11" t="s">
        <v>57</v>
      </c>
      <c r="S2" s="12">
        <v>4</v>
      </c>
      <c r="T2" s="11" t="s">
        <v>58</v>
      </c>
      <c r="U2" s="11" t="s">
        <v>59</v>
      </c>
      <c r="V2" s="12">
        <v>4</v>
      </c>
      <c r="W2" s="11" t="s">
        <v>45</v>
      </c>
      <c r="X2" s="12">
        <v>5</v>
      </c>
      <c r="Y2" s="12">
        <v>4</v>
      </c>
      <c r="Z2" s="11" t="s">
        <v>60</v>
      </c>
      <c r="AA2" s="12">
        <v>4</v>
      </c>
      <c r="AB2" s="11" t="s">
        <v>34</v>
      </c>
      <c r="AC2" s="11" t="s">
        <v>34</v>
      </c>
      <c r="AD2" s="11" t="s">
        <v>61</v>
      </c>
      <c r="AE2" s="28"/>
    </row>
    <row r="3" spans="1:31">
      <c r="A3" s="4">
        <v>46194.8328403356</v>
      </c>
      <c r="B3" s="5" t="s">
        <v>62</v>
      </c>
      <c r="C3" s="5" t="s">
        <v>63</v>
      </c>
      <c r="D3" s="5" t="s">
        <v>390</v>
      </c>
      <c r="E3" s="5" t="s">
        <v>34</v>
      </c>
      <c r="F3" s="5" t="s">
        <v>65</v>
      </c>
      <c r="G3" s="5" t="s">
        <v>52</v>
      </c>
      <c r="H3" s="7">
        <v>9</v>
      </c>
      <c r="I3" s="5" t="s">
        <v>66</v>
      </c>
      <c r="J3" s="7">
        <v>8</v>
      </c>
      <c r="K3" s="7">
        <v>35000</v>
      </c>
      <c r="L3" s="7">
        <v>9</v>
      </c>
      <c r="M3" s="5" t="s">
        <v>67</v>
      </c>
      <c r="N3" s="5" t="s">
        <v>391</v>
      </c>
      <c r="O3" s="6"/>
      <c r="P3" s="7">
        <v>3</v>
      </c>
      <c r="Q3" s="5" t="s">
        <v>69</v>
      </c>
      <c r="R3" s="5" t="s">
        <v>57</v>
      </c>
      <c r="S3" s="7">
        <v>5</v>
      </c>
      <c r="T3" s="5" t="s">
        <v>43</v>
      </c>
      <c r="U3" s="5" t="s">
        <v>70</v>
      </c>
      <c r="V3" s="7">
        <v>5</v>
      </c>
      <c r="W3" s="5" t="s">
        <v>71</v>
      </c>
      <c r="X3" s="7">
        <v>3</v>
      </c>
      <c r="Y3" s="7">
        <v>2</v>
      </c>
      <c r="Z3" s="5" t="s">
        <v>60</v>
      </c>
      <c r="AA3" s="7">
        <v>3</v>
      </c>
      <c r="AB3" s="5" t="s">
        <v>34</v>
      </c>
      <c r="AC3" s="5" t="s">
        <v>34</v>
      </c>
      <c r="AD3" s="5" t="s">
        <v>392</v>
      </c>
      <c r="AE3" s="29"/>
    </row>
    <row r="4" spans="1:31">
      <c r="A4" s="10">
        <v>46194.7485617361</v>
      </c>
      <c r="B4" s="11" t="s">
        <v>393</v>
      </c>
      <c r="C4" s="27" t="s">
        <v>32</v>
      </c>
      <c r="D4" s="11" t="s">
        <v>74</v>
      </c>
      <c r="E4" s="11" t="s">
        <v>34</v>
      </c>
      <c r="F4" s="11" t="s">
        <v>75</v>
      </c>
      <c r="G4" s="11" t="s">
        <v>36</v>
      </c>
      <c r="H4" s="12">
        <v>7</v>
      </c>
      <c r="I4" s="11" t="s">
        <v>394</v>
      </c>
      <c r="J4" s="12">
        <v>3</v>
      </c>
      <c r="K4" s="23"/>
      <c r="L4" s="12">
        <v>6</v>
      </c>
      <c r="M4" s="11" t="s">
        <v>77</v>
      </c>
      <c r="N4" s="11" t="s">
        <v>78</v>
      </c>
      <c r="O4" s="23"/>
      <c r="P4" s="12">
        <v>4</v>
      </c>
      <c r="Q4" s="11" t="s">
        <v>69</v>
      </c>
      <c r="R4" s="11" t="s">
        <v>57</v>
      </c>
      <c r="S4" s="12">
        <v>5</v>
      </c>
      <c r="T4" s="11" t="s">
        <v>43</v>
      </c>
      <c r="U4" s="11" t="s">
        <v>79</v>
      </c>
      <c r="V4" s="12">
        <v>4</v>
      </c>
      <c r="W4" s="11" t="s">
        <v>45</v>
      </c>
      <c r="X4" s="12">
        <v>4</v>
      </c>
      <c r="Y4" s="12">
        <v>4</v>
      </c>
      <c r="Z4" s="11" t="s">
        <v>60</v>
      </c>
      <c r="AA4" s="12">
        <v>5</v>
      </c>
      <c r="AB4" s="11" t="s">
        <v>34</v>
      </c>
      <c r="AC4" s="11" t="s">
        <v>34</v>
      </c>
      <c r="AD4" s="11" t="s">
        <v>80</v>
      </c>
      <c r="AE4" s="13" t="s">
        <v>81</v>
      </c>
    </row>
    <row r="11" spans="1:31">
      <c r="C11" t="s">
        <v>420</v>
      </c>
      <c r="D11">
        <f>(H2+H3+H4)/3</f>
        <v>7.66666666666667</v>
      </c>
      <c r="E11" t="s">
        <v>421</v>
      </c>
    </row>
    <row r="12" spans="1:31">
      <c r="C12" t="s">
        <v>422</v>
      </c>
      <c r="D12">
        <f>(L2+L3+L4)/3</f>
        <v>7.33333333333333</v>
      </c>
      <c r="E12" t="s">
        <v>423</v>
      </c>
    </row>
    <row r="13" spans="1:31">
      <c r="C13" t="s">
        <v>424</v>
      </c>
      <c r="D13">
        <f>(P2+P3+P4+S2+S3+S4+V2+V3+V4+X2+X3+X4+Y2+Y3+Y4+AA2+AA3+AA4)/18</f>
        <v>4</v>
      </c>
      <c r="E13" t="s">
        <v>425</v>
      </c>
    </row>
    <row r="14" spans="1:31">
      <c r="C14" t="s">
        <v>426</v>
      </c>
      <c r="D14">
        <f>(J2+J3+J4)/3</f>
        <v>5.66666666666667</v>
      </c>
      <c r="E14" t="s">
        <v>423</v>
      </c>
      <c r="F14" t="s">
        <v>427</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F13"/>
  <sheetViews>
    <sheetView workbookViewId="0">
      <selection activeCell="E13" sqref="E13"/>
    </sheetView>
  </sheetViews>
  <sheetFormatPr defaultColWidth="8.88888888888889" defaultRowHeight="13.2"/>
  <cols>
    <col min="2" max="2" width="18.2222222222222" customWidth="1"/>
    <col min="3" max="3" width="12.8888888888889"/>
  </cols>
  <sheetData>
    <row r="1" spans="2:32">
      <c r="B1" s="1"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3" t="s">
        <v>30</v>
      </c>
    </row>
    <row r="2" s="24" customFormat="1" spans="2:32">
      <c r="B2" s="4">
        <v>46196.4787039815</v>
      </c>
      <c r="C2" s="5" t="s">
        <v>285</v>
      </c>
      <c r="D2" s="5" t="s">
        <v>32</v>
      </c>
      <c r="E2" s="5" t="s">
        <v>395</v>
      </c>
      <c r="F2" s="5" t="s">
        <v>57</v>
      </c>
      <c r="G2" s="5" t="s">
        <v>287</v>
      </c>
      <c r="H2" s="5" t="s">
        <v>52</v>
      </c>
      <c r="I2" s="7">
        <v>5</v>
      </c>
      <c r="J2" s="5" t="s">
        <v>288</v>
      </c>
      <c r="K2" s="7">
        <v>1</v>
      </c>
      <c r="L2" s="5" t="s">
        <v>289</v>
      </c>
      <c r="M2" s="7">
        <v>3</v>
      </c>
      <c r="N2" s="5" t="s">
        <v>396</v>
      </c>
      <c r="O2" s="5" t="s">
        <v>397</v>
      </c>
      <c r="P2" s="5" t="s">
        <v>292</v>
      </c>
      <c r="Q2" s="7">
        <v>2</v>
      </c>
      <c r="R2" s="5" t="s">
        <v>141</v>
      </c>
      <c r="S2" s="5" t="s">
        <v>34</v>
      </c>
      <c r="T2" s="7">
        <v>1</v>
      </c>
      <c r="U2" s="5" t="s">
        <v>58</v>
      </c>
      <c r="V2" s="5" t="s">
        <v>293</v>
      </c>
      <c r="W2" s="7">
        <v>1</v>
      </c>
      <c r="X2" s="5" t="s">
        <v>114</v>
      </c>
      <c r="Y2" s="7">
        <v>3</v>
      </c>
      <c r="Z2" s="7">
        <v>5</v>
      </c>
      <c r="AA2" s="5" t="s">
        <v>60</v>
      </c>
      <c r="AB2" s="7">
        <v>2</v>
      </c>
      <c r="AC2" s="5" t="s">
        <v>294</v>
      </c>
      <c r="AD2" s="5" t="s">
        <v>57</v>
      </c>
      <c r="AE2" s="5" t="s">
        <v>295</v>
      </c>
      <c r="AF2" s="8" t="s">
        <v>398</v>
      </c>
    </row>
    <row r="3" s="24" customFormat="1" spans="2:32">
      <c r="B3" s="10">
        <v>46194.6603237963</v>
      </c>
      <c r="C3" s="11" t="s">
        <v>399</v>
      </c>
      <c r="D3" s="27" t="s">
        <v>32</v>
      </c>
      <c r="E3" s="11" t="s">
        <v>400</v>
      </c>
      <c r="F3" s="11" t="s">
        <v>34</v>
      </c>
      <c r="G3" s="11" t="s">
        <v>93</v>
      </c>
      <c r="H3" s="11" t="s">
        <v>52</v>
      </c>
      <c r="I3" s="12">
        <v>8</v>
      </c>
      <c r="J3" s="11" t="s">
        <v>316</v>
      </c>
      <c r="K3" s="12">
        <v>1</v>
      </c>
      <c r="L3" s="23"/>
      <c r="M3" s="12">
        <v>10</v>
      </c>
      <c r="N3" s="11" t="s">
        <v>317</v>
      </c>
      <c r="O3" s="11" t="s">
        <v>318</v>
      </c>
      <c r="P3" s="23"/>
      <c r="Q3" s="12">
        <v>4</v>
      </c>
      <c r="R3" s="11" t="s">
        <v>42</v>
      </c>
      <c r="S3" s="11" t="s">
        <v>34</v>
      </c>
      <c r="T3" s="12">
        <v>3</v>
      </c>
      <c r="U3" s="11" t="s">
        <v>58</v>
      </c>
      <c r="V3" s="11" t="s">
        <v>319</v>
      </c>
      <c r="W3" s="12">
        <v>4</v>
      </c>
      <c r="X3" s="11" t="s">
        <v>45</v>
      </c>
      <c r="Y3" s="12">
        <v>4</v>
      </c>
      <c r="Z3" s="12">
        <v>3</v>
      </c>
      <c r="AA3" s="11" t="s">
        <v>320</v>
      </c>
      <c r="AB3" s="12">
        <v>2</v>
      </c>
      <c r="AC3" s="11" t="s">
        <v>34</v>
      </c>
      <c r="AD3" s="11" t="s">
        <v>34</v>
      </c>
      <c r="AE3" s="11" t="s">
        <v>321</v>
      </c>
      <c r="AF3" s="13" t="s">
        <v>322</v>
      </c>
    </row>
    <row r="4" spans="2:32">
      <c r="I4">
        <f>SUM(I2:I3)</f>
        <v>13</v>
      </c>
      <c r="K4">
        <f>SUM(K2:K3)</f>
        <v>2</v>
      </c>
      <c r="M4">
        <f>SUM(M2:M3)</f>
        <v>13</v>
      </c>
      <c r="Q4">
        <f>SUM(Q2:Q3)</f>
        <v>6</v>
      </c>
      <c r="T4">
        <f>SUM(T2:T3)</f>
        <v>4</v>
      </c>
      <c r="W4">
        <f>SUM(W2:W3)</f>
        <v>5</v>
      </c>
      <c r="Y4">
        <f>SUM(Y2:Y3)</f>
        <v>7</v>
      </c>
      <c r="Z4">
        <f>SUM(Z2:Z3)</f>
        <v>8</v>
      </c>
      <c r="AB4">
        <f>SUM(AB2:AB3)</f>
        <v>4</v>
      </c>
    </row>
    <row r="10" spans="2:32">
      <c r="B10" t="s">
        <v>420</v>
      </c>
      <c r="C10">
        <f>I4/2</f>
        <v>6.5</v>
      </c>
      <c r="D10">
        <v>10</v>
      </c>
    </row>
    <row r="11" spans="2:32">
      <c r="B11" t="s">
        <v>422</v>
      </c>
      <c r="C11">
        <f>M4/2</f>
        <v>6.5</v>
      </c>
      <c r="D11">
        <v>10</v>
      </c>
    </row>
    <row r="12" spans="2:32">
      <c r="B12" t="s">
        <v>424</v>
      </c>
      <c r="C12">
        <f>(Q4+T4+W4+Y4+Z4+AB4)/12</f>
        <v>2.83333333333333</v>
      </c>
      <c r="D12">
        <v>5</v>
      </c>
    </row>
    <row r="13" spans="2:32">
      <c r="B13" t="s">
        <v>426</v>
      </c>
      <c r="C13">
        <f>K4/2</f>
        <v>1</v>
      </c>
      <c r="D13">
        <v>10</v>
      </c>
      <c r="E13" t="s">
        <v>427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13"/>
  <sheetViews>
    <sheetView workbookViewId="0">
      <selection activeCell="E13" sqref="E13"/>
    </sheetView>
  </sheetViews>
  <sheetFormatPr defaultColWidth="8.88888888888889" defaultRowHeight="13.2"/>
  <cols>
    <col min="2" max="2" width="18.4444444444444"/>
  </cols>
  <sheetData>
    <row r="1" spans="1:5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3" t="s">
        <v>30</v>
      </c>
    </row>
    <row r="2" customFormat="1" spans="1:51">
      <c r="A2" s="18">
        <v>46196.5517217245</v>
      </c>
      <c r="B2" s="19" t="s">
        <v>323</v>
      </c>
      <c r="C2" s="19" t="s">
        <v>32</v>
      </c>
      <c r="D2" s="19" t="s">
        <v>324</v>
      </c>
      <c r="E2" s="19" t="s">
        <v>34</v>
      </c>
      <c r="F2" s="19" t="s">
        <v>325</v>
      </c>
      <c r="G2" s="19" t="s">
        <v>52</v>
      </c>
      <c r="H2" s="20">
        <v>5</v>
      </c>
      <c r="I2" s="19" t="s">
        <v>428</v>
      </c>
      <c r="J2" s="20">
        <v>4</v>
      </c>
      <c r="K2" s="19" t="s">
        <v>327</v>
      </c>
      <c r="L2" s="20">
        <v>3</v>
      </c>
      <c r="M2" s="19" t="s">
        <v>328</v>
      </c>
      <c r="N2" s="19" t="s">
        <v>329</v>
      </c>
      <c r="O2" s="19" t="s">
        <v>330</v>
      </c>
      <c r="P2" s="20">
        <v>3</v>
      </c>
      <c r="Q2" s="19" t="s">
        <v>69</v>
      </c>
      <c r="R2" s="19" t="s">
        <v>34</v>
      </c>
      <c r="S2" s="20">
        <v>4</v>
      </c>
      <c r="T2" s="19" t="s">
        <v>58</v>
      </c>
      <c r="U2" s="19" t="s">
        <v>331</v>
      </c>
      <c r="V2" s="20">
        <v>4</v>
      </c>
      <c r="W2" s="19" t="s">
        <v>45</v>
      </c>
      <c r="X2" s="20">
        <v>1</v>
      </c>
      <c r="Y2" s="20">
        <v>2</v>
      </c>
      <c r="Z2" s="19" t="s">
        <v>60</v>
      </c>
      <c r="AA2" s="20">
        <v>5</v>
      </c>
      <c r="AB2" s="19" t="s">
        <v>332</v>
      </c>
      <c r="AC2" s="19" t="s">
        <v>57</v>
      </c>
      <c r="AD2" s="19" t="s">
        <v>333</v>
      </c>
      <c r="AE2" s="19" t="s">
        <v>334</v>
      </c>
      <c r="AF2" s="24"/>
      <c r="AG2" s="24"/>
      <c r="AH2" s="24"/>
      <c r="AI2" s="24"/>
      <c r="AJ2" s="24"/>
      <c r="AK2" s="24"/>
      <c r="AL2" s="24"/>
      <c r="AM2" s="24"/>
      <c r="AN2" s="24"/>
      <c r="AO2" s="24"/>
      <c r="AP2" s="24"/>
      <c r="AQ2" s="24"/>
      <c r="AR2" s="24"/>
      <c r="AS2" s="24"/>
      <c r="AT2" s="24"/>
      <c r="AU2" s="24"/>
      <c r="AV2" s="24"/>
      <c r="AW2" s="24"/>
      <c r="AX2" s="24"/>
      <c r="AY2" s="24"/>
    </row>
    <row r="3" customFormat="1" spans="1:51">
      <c r="A3" s="15">
        <v>46196.9728003356</v>
      </c>
      <c r="B3" s="16" t="s">
        <v>335</v>
      </c>
      <c r="C3" s="16" t="s">
        <v>32</v>
      </c>
      <c r="D3" s="16" t="s">
        <v>121</v>
      </c>
      <c r="E3" s="16" t="s">
        <v>57</v>
      </c>
      <c r="F3" s="16" t="s">
        <v>429</v>
      </c>
      <c r="G3" s="16" t="s">
        <v>36</v>
      </c>
      <c r="H3" s="17">
        <v>6</v>
      </c>
      <c r="I3" s="16" t="s">
        <v>430</v>
      </c>
      <c r="J3" s="17">
        <v>4</v>
      </c>
      <c r="K3" s="16" t="s">
        <v>431</v>
      </c>
      <c r="L3" s="17">
        <v>7</v>
      </c>
      <c r="M3" s="16" t="s">
        <v>432</v>
      </c>
      <c r="N3" s="16" t="s">
        <v>433</v>
      </c>
      <c r="O3" s="16" t="s">
        <v>341</v>
      </c>
      <c r="P3" s="17">
        <v>4</v>
      </c>
      <c r="Q3" s="16" t="s">
        <v>42</v>
      </c>
      <c r="R3" s="16" t="s">
        <v>34</v>
      </c>
      <c r="S3" s="17">
        <v>1</v>
      </c>
      <c r="T3" s="16" t="s">
        <v>43</v>
      </c>
      <c r="U3" s="16" t="s">
        <v>434</v>
      </c>
      <c r="V3" s="17">
        <v>1</v>
      </c>
      <c r="W3" s="16" t="s">
        <v>45</v>
      </c>
      <c r="X3" s="17">
        <v>1</v>
      </c>
      <c r="Y3" s="17">
        <v>4</v>
      </c>
      <c r="Z3" s="16" t="s">
        <v>60</v>
      </c>
      <c r="AA3" s="17">
        <v>5</v>
      </c>
      <c r="AB3" s="16" t="s">
        <v>57</v>
      </c>
      <c r="AC3" s="16" t="s">
        <v>57</v>
      </c>
      <c r="AD3" s="16" t="s">
        <v>435</v>
      </c>
      <c r="AE3" s="16" t="s">
        <v>344</v>
      </c>
      <c r="AF3" s="24"/>
      <c r="AG3" s="24"/>
      <c r="AH3" s="24"/>
      <c r="AI3" s="24"/>
      <c r="AJ3" s="24"/>
      <c r="AK3" s="24"/>
      <c r="AL3" s="24"/>
      <c r="AM3" s="24"/>
      <c r="AN3" s="24"/>
      <c r="AO3" s="24"/>
      <c r="AP3" s="24"/>
      <c r="AQ3" s="24"/>
      <c r="AR3" s="24"/>
      <c r="AS3" s="24"/>
      <c r="AT3" s="24"/>
      <c r="AU3" s="24"/>
      <c r="AV3" s="24"/>
      <c r="AW3" s="24"/>
      <c r="AX3" s="24"/>
      <c r="AY3" s="24"/>
    </row>
    <row r="4" spans="1:51">
      <c r="A4" s="18">
        <v>46194.7815948843</v>
      </c>
      <c r="B4" s="19" t="s">
        <v>436</v>
      </c>
      <c r="C4" s="25" t="s">
        <v>63</v>
      </c>
      <c r="D4" s="19" t="s">
        <v>324</v>
      </c>
      <c r="E4" s="19" t="s">
        <v>34</v>
      </c>
      <c r="F4" s="19" t="s">
        <v>347</v>
      </c>
      <c r="G4" s="19" t="s">
        <v>36</v>
      </c>
      <c r="H4" s="20">
        <v>7</v>
      </c>
      <c r="I4" s="19" t="s">
        <v>348</v>
      </c>
      <c r="J4" s="20">
        <v>7</v>
      </c>
      <c r="K4" s="26"/>
      <c r="L4" s="20">
        <v>5</v>
      </c>
      <c r="M4" s="19" t="s">
        <v>437</v>
      </c>
      <c r="N4" s="19" t="s">
        <v>350</v>
      </c>
      <c r="O4" s="26"/>
      <c r="P4" s="20">
        <v>4</v>
      </c>
      <c r="Q4" s="19" t="s">
        <v>69</v>
      </c>
      <c r="R4" s="19" t="s">
        <v>34</v>
      </c>
      <c r="S4" s="20">
        <v>1</v>
      </c>
      <c r="T4" s="19" t="s">
        <v>43</v>
      </c>
      <c r="U4" s="19" t="s">
        <v>438</v>
      </c>
      <c r="V4" s="20">
        <v>3</v>
      </c>
      <c r="W4" s="19" t="s">
        <v>45</v>
      </c>
      <c r="X4" s="20">
        <v>3</v>
      </c>
      <c r="Y4" s="20">
        <v>4</v>
      </c>
      <c r="Z4" s="19" t="s">
        <v>203</v>
      </c>
      <c r="AA4" s="20">
        <v>3</v>
      </c>
      <c r="AB4" s="19" t="s">
        <v>57</v>
      </c>
      <c r="AC4" s="19" t="s">
        <v>57</v>
      </c>
      <c r="AD4" s="19" t="s">
        <v>352</v>
      </c>
      <c r="AE4" s="19" t="s">
        <v>302</v>
      </c>
      <c r="AF4" s="24"/>
      <c r="AG4" s="24"/>
      <c r="AH4" s="24"/>
      <c r="AI4" s="24"/>
      <c r="AJ4" s="24"/>
      <c r="AK4" s="24"/>
      <c r="AL4" s="24"/>
      <c r="AM4" s="24"/>
      <c r="AN4" s="24"/>
      <c r="AO4" s="24"/>
      <c r="AP4" s="24"/>
      <c r="AQ4" s="24"/>
      <c r="AR4" s="24"/>
      <c r="AS4" s="24"/>
      <c r="AT4" s="24"/>
      <c r="AU4" s="24"/>
      <c r="AV4" s="24"/>
      <c r="AW4" s="24"/>
      <c r="AX4" s="24"/>
      <c r="AY4" s="24"/>
    </row>
    <row r="5" spans="1:51">
      <c r="A5" s="15">
        <v>46195.6227874769</v>
      </c>
      <c r="B5" s="16" t="s">
        <v>353</v>
      </c>
      <c r="C5" s="16" t="s">
        <v>32</v>
      </c>
      <c r="D5" s="16" t="s">
        <v>121</v>
      </c>
      <c r="E5" s="16" t="s">
        <v>57</v>
      </c>
      <c r="F5" s="16" t="s">
        <v>439</v>
      </c>
      <c r="G5" s="16" t="s">
        <v>36</v>
      </c>
      <c r="H5" s="17">
        <v>3</v>
      </c>
      <c r="I5" s="16" t="s">
        <v>356</v>
      </c>
      <c r="J5" s="17">
        <v>4</v>
      </c>
      <c r="K5" s="16" t="s">
        <v>357</v>
      </c>
      <c r="L5" s="17">
        <v>3</v>
      </c>
      <c r="M5" s="16" t="s">
        <v>440</v>
      </c>
      <c r="N5" s="16" t="s">
        <v>441</v>
      </c>
      <c r="O5" s="16" t="s">
        <v>360</v>
      </c>
      <c r="P5" s="17">
        <v>3</v>
      </c>
      <c r="Q5" s="16" t="s">
        <v>69</v>
      </c>
      <c r="R5" s="16" t="s">
        <v>34</v>
      </c>
      <c r="S5" s="17">
        <v>1</v>
      </c>
      <c r="T5" s="16" t="s">
        <v>150</v>
      </c>
      <c r="U5" s="16" t="s">
        <v>361</v>
      </c>
      <c r="V5" s="17">
        <v>4</v>
      </c>
      <c r="W5" s="16" t="s">
        <v>45</v>
      </c>
      <c r="X5" s="17">
        <v>3</v>
      </c>
      <c r="Y5" s="17">
        <v>3</v>
      </c>
      <c r="Z5" s="16" t="s">
        <v>203</v>
      </c>
      <c r="AA5" s="17">
        <v>5</v>
      </c>
      <c r="AB5" s="16" t="s">
        <v>57</v>
      </c>
      <c r="AC5" s="16" t="s">
        <v>57</v>
      </c>
      <c r="AD5" s="16" t="s">
        <v>362</v>
      </c>
      <c r="AE5" s="16" t="s">
        <v>442</v>
      </c>
      <c r="AF5" s="24"/>
      <c r="AG5" s="24"/>
      <c r="AH5" s="24"/>
      <c r="AI5" s="24"/>
      <c r="AJ5" s="24"/>
      <c r="AK5" s="24"/>
      <c r="AL5" s="24"/>
      <c r="AM5" s="24"/>
      <c r="AN5" s="24"/>
      <c r="AO5" s="24"/>
      <c r="AP5" s="24"/>
      <c r="AQ5" s="24"/>
      <c r="AR5" s="24"/>
      <c r="AS5" s="24"/>
      <c r="AT5" s="24"/>
      <c r="AU5" s="24"/>
      <c r="AV5" s="24"/>
      <c r="AW5" s="24"/>
      <c r="AX5" s="24"/>
      <c r="AY5" s="24"/>
    </row>
    <row r="6" spans="1:51">
      <c r="A6" s="18">
        <v>46194.7177414005</v>
      </c>
      <c r="B6" s="19" t="s">
        <v>364</v>
      </c>
      <c r="C6" s="25" t="s">
        <v>32</v>
      </c>
      <c r="D6" s="19" t="s">
        <v>443</v>
      </c>
      <c r="E6" s="19" t="s">
        <v>57</v>
      </c>
      <c r="F6" s="19" t="s">
        <v>366</v>
      </c>
      <c r="G6" s="19" t="s">
        <v>36</v>
      </c>
      <c r="H6" s="20">
        <v>2</v>
      </c>
      <c r="I6" s="19" t="s">
        <v>93</v>
      </c>
      <c r="J6" s="20">
        <v>1</v>
      </c>
      <c r="K6" s="26"/>
      <c r="L6" s="20">
        <v>1</v>
      </c>
      <c r="M6" s="19" t="s">
        <v>93</v>
      </c>
      <c r="N6" s="19" t="s">
        <v>444</v>
      </c>
      <c r="O6" s="26"/>
      <c r="P6" s="20">
        <v>2</v>
      </c>
      <c r="Q6" s="19" t="s">
        <v>141</v>
      </c>
      <c r="R6" s="19" t="s">
        <v>34</v>
      </c>
      <c r="S6" s="20">
        <v>2</v>
      </c>
      <c r="T6" s="19" t="s">
        <v>112</v>
      </c>
      <c r="U6" s="19" t="s">
        <v>368</v>
      </c>
      <c r="V6" s="20">
        <v>1</v>
      </c>
      <c r="W6" s="19" t="s">
        <v>45</v>
      </c>
      <c r="X6" s="20">
        <v>2</v>
      </c>
      <c r="Y6" s="20">
        <v>3</v>
      </c>
      <c r="Z6" s="19" t="s">
        <v>60</v>
      </c>
      <c r="AA6" s="20">
        <v>4</v>
      </c>
      <c r="AB6" s="19" t="s">
        <v>57</v>
      </c>
      <c r="AC6" s="19" t="s">
        <v>57</v>
      </c>
      <c r="AD6" s="19" t="s">
        <v>369</v>
      </c>
      <c r="AE6" s="26"/>
      <c r="AF6" s="24"/>
      <c r="AG6" s="24"/>
      <c r="AH6" s="24"/>
      <c r="AI6" s="24"/>
      <c r="AJ6" s="24"/>
      <c r="AK6" s="24"/>
      <c r="AL6" s="24"/>
      <c r="AM6" s="24"/>
      <c r="AN6" s="24"/>
      <c r="AO6" s="24"/>
      <c r="AP6" s="24"/>
      <c r="AQ6" s="24"/>
      <c r="AR6" s="24"/>
      <c r="AS6" s="24"/>
      <c r="AT6" s="24"/>
      <c r="AU6" s="24"/>
      <c r="AV6" s="24"/>
      <c r="AW6" s="24"/>
      <c r="AX6" s="24"/>
      <c r="AY6" s="24"/>
    </row>
    <row r="7" spans="1:51">
      <c r="H7">
        <f>SUM(H2:H6)</f>
        <v>23</v>
      </c>
      <c r="J7">
        <f>SUM(J2:J6)</f>
        <v>20</v>
      </c>
      <c r="L7">
        <f>SUM(L2:L6)</f>
        <v>19</v>
      </c>
      <c r="P7">
        <f>SUM(P2:P6)</f>
        <v>16</v>
      </c>
      <c r="S7">
        <f>SUM(S2:S6)</f>
        <v>9</v>
      </c>
      <c r="V7">
        <f>SUM(V2:V6)</f>
        <v>13</v>
      </c>
      <c r="X7">
        <f>SUM(X2:X6)</f>
        <v>10</v>
      </c>
      <c r="Y7">
        <f>SUM(Y2:Y6)</f>
        <v>16</v>
      </c>
      <c r="AA7">
        <f>SUM(AA2:AA6)</f>
        <v>22</v>
      </c>
    </row>
    <row r="10" spans="1:51">
      <c r="B10" t="s">
        <v>420</v>
      </c>
      <c r="C10">
        <v>4.6</v>
      </c>
      <c r="D10">
        <v>10</v>
      </c>
    </row>
    <row r="11" spans="1:51">
      <c r="B11" t="s">
        <v>422</v>
      </c>
      <c r="C11">
        <v>3.8</v>
      </c>
      <c r="D11">
        <v>10</v>
      </c>
    </row>
    <row r="12" spans="1:51">
      <c r="B12" t="s">
        <v>424</v>
      </c>
      <c r="C12">
        <v>3.4</v>
      </c>
      <c r="D12">
        <v>5</v>
      </c>
    </row>
    <row r="13" spans="1:51">
      <c r="B13" t="s">
        <v>426</v>
      </c>
      <c r="C13">
        <v>4</v>
      </c>
      <c r="D13">
        <v>10</v>
      </c>
      <c r="E13" t="s">
        <v>427</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3"/>
  <sheetViews>
    <sheetView workbookViewId="0">
      <selection activeCell="E13" sqref="E13"/>
    </sheetView>
  </sheetViews>
  <sheetFormatPr defaultColWidth="8.88888888888889" defaultRowHeight="13.2"/>
  <cols>
    <col min="2" max="2" width="24.2222222222222" customWidth="1"/>
  </cols>
  <sheetData>
    <row r="1" spans="1:3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3" t="s">
        <v>30</v>
      </c>
    </row>
    <row r="2" spans="1:31">
      <c r="A2" s="18">
        <v>46194.8536177315</v>
      </c>
      <c r="B2" s="19" t="s">
        <v>144</v>
      </c>
      <c r="C2" s="19" t="s">
        <v>32</v>
      </c>
      <c r="D2" s="19" t="s">
        <v>145</v>
      </c>
      <c r="E2" s="19" t="s">
        <v>57</v>
      </c>
      <c r="F2" s="19" t="s">
        <v>146</v>
      </c>
      <c r="G2" s="19" t="s">
        <v>36</v>
      </c>
      <c r="H2" s="20">
        <v>1</v>
      </c>
      <c r="I2" s="19" t="s">
        <v>93</v>
      </c>
      <c r="J2" s="20">
        <v>1</v>
      </c>
      <c r="K2" s="19" t="s">
        <v>148</v>
      </c>
      <c r="L2" s="20">
        <v>1</v>
      </c>
      <c r="M2" s="19" t="s">
        <v>93</v>
      </c>
      <c r="N2" s="19" t="s">
        <v>401</v>
      </c>
      <c r="O2" s="19" t="s">
        <v>57</v>
      </c>
      <c r="P2" s="20">
        <v>1</v>
      </c>
      <c r="Q2" s="19" t="s">
        <v>141</v>
      </c>
      <c r="R2" s="19" t="s">
        <v>34</v>
      </c>
      <c r="S2" s="20">
        <v>1</v>
      </c>
      <c r="T2" s="19" t="s">
        <v>150</v>
      </c>
      <c r="U2" s="19" t="s">
        <v>402</v>
      </c>
      <c r="V2" s="20">
        <v>1</v>
      </c>
      <c r="W2" s="19" t="s">
        <v>125</v>
      </c>
      <c r="X2" s="20">
        <v>5</v>
      </c>
      <c r="Y2" s="20">
        <v>5</v>
      </c>
      <c r="Z2" s="19" t="s">
        <v>60</v>
      </c>
      <c r="AA2" s="20">
        <v>1</v>
      </c>
      <c r="AB2" s="19" t="s">
        <v>57</v>
      </c>
      <c r="AC2" s="19" t="s">
        <v>57</v>
      </c>
      <c r="AD2" s="19" t="s">
        <v>152</v>
      </c>
      <c r="AE2" s="19" t="s">
        <v>153</v>
      </c>
    </row>
    <row r="3" spans="1:31">
      <c r="A3" s="15">
        <v>46194.7576051157</v>
      </c>
      <c r="B3" s="16" t="s">
        <v>154</v>
      </c>
      <c r="C3" s="21" t="s">
        <v>32</v>
      </c>
      <c r="D3" s="16" t="s">
        <v>155</v>
      </c>
      <c r="E3" s="16" t="s">
        <v>120</v>
      </c>
      <c r="F3" s="16" t="s">
        <v>156</v>
      </c>
      <c r="G3" s="16" t="s">
        <v>36</v>
      </c>
      <c r="H3" s="17">
        <v>3</v>
      </c>
      <c r="I3" s="16" t="s">
        <v>93</v>
      </c>
      <c r="J3" s="17">
        <v>4</v>
      </c>
      <c r="K3" s="22"/>
      <c r="L3" s="17">
        <v>8</v>
      </c>
      <c r="M3" s="16" t="s">
        <v>93</v>
      </c>
      <c r="N3" s="16" t="s">
        <v>157</v>
      </c>
      <c r="O3" s="22"/>
      <c r="P3" s="17">
        <v>3</v>
      </c>
      <c r="Q3" s="16" t="s">
        <v>69</v>
      </c>
      <c r="R3" s="16" t="s">
        <v>34</v>
      </c>
      <c r="S3" s="17">
        <v>1</v>
      </c>
      <c r="T3" s="16" t="s">
        <v>96</v>
      </c>
      <c r="U3" s="16" t="s">
        <v>403</v>
      </c>
      <c r="V3" s="17">
        <v>3</v>
      </c>
      <c r="W3" s="16" t="s">
        <v>125</v>
      </c>
      <c r="X3" s="17">
        <v>5</v>
      </c>
      <c r="Y3" s="17">
        <v>5</v>
      </c>
      <c r="Z3" s="16" t="s">
        <v>60</v>
      </c>
      <c r="AA3" s="17">
        <v>2</v>
      </c>
      <c r="AB3" s="16" t="s">
        <v>57</v>
      </c>
      <c r="AC3" s="16" t="s">
        <v>57</v>
      </c>
      <c r="AD3" s="16" t="s">
        <v>404</v>
      </c>
      <c r="AE3" s="16" t="s">
        <v>160</v>
      </c>
    </row>
    <row r="4" spans="1:31">
      <c r="A4" s="4">
        <v>46196.6516369329</v>
      </c>
      <c r="B4" s="5" t="s">
        <v>178</v>
      </c>
      <c r="C4" s="5" t="s">
        <v>32</v>
      </c>
      <c r="D4" s="5" t="s">
        <v>179</v>
      </c>
      <c r="E4" s="5" t="s">
        <v>34</v>
      </c>
      <c r="F4" s="5" t="s">
        <v>180</v>
      </c>
      <c r="G4" s="5" t="s">
        <v>52</v>
      </c>
      <c r="H4" s="7">
        <v>7</v>
      </c>
      <c r="I4" s="5" t="s">
        <v>181</v>
      </c>
      <c r="J4" s="7">
        <v>5</v>
      </c>
      <c r="K4" s="5" t="s">
        <v>182</v>
      </c>
      <c r="L4" s="7">
        <v>8</v>
      </c>
      <c r="M4" s="5" t="s">
        <v>183</v>
      </c>
      <c r="N4" s="5" t="s">
        <v>405</v>
      </c>
      <c r="O4" s="5" t="s">
        <v>81</v>
      </c>
      <c r="P4" s="7">
        <v>4</v>
      </c>
      <c r="Q4" s="5" t="s">
        <v>69</v>
      </c>
      <c r="R4" s="5" t="s">
        <v>34</v>
      </c>
      <c r="S4" s="7">
        <v>3</v>
      </c>
      <c r="T4" s="5" t="s">
        <v>96</v>
      </c>
      <c r="U4" s="5" t="s">
        <v>185</v>
      </c>
      <c r="V4" s="7">
        <v>4</v>
      </c>
      <c r="W4" s="5" t="s">
        <v>114</v>
      </c>
      <c r="X4" s="7">
        <v>4</v>
      </c>
      <c r="Y4" s="7">
        <v>5</v>
      </c>
      <c r="Z4" s="5" t="s">
        <v>103</v>
      </c>
      <c r="AA4" s="7">
        <v>4</v>
      </c>
      <c r="AB4" s="5" t="s">
        <v>57</v>
      </c>
      <c r="AC4" s="5" t="s">
        <v>57</v>
      </c>
      <c r="AD4" s="5" t="s">
        <v>406</v>
      </c>
      <c r="AE4" s="5" t="s">
        <v>187</v>
      </c>
    </row>
    <row r="5" spans="1:31">
      <c r="A5" s="10">
        <v>46196.700433287</v>
      </c>
      <c r="B5" s="11" t="s">
        <v>188</v>
      </c>
      <c r="C5" s="11" t="s">
        <v>63</v>
      </c>
      <c r="D5" s="11" t="s">
        <v>189</v>
      </c>
      <c r="E5" s="11" t="s">
        <v>34</v>
      </c>
      <c r="F5" s="11" t="s">
        <v>407</v>
      </c>
      <c r="G5" s="11" t="s">
        <v>36</v>
      </c>
      <c r="H5" s="12">
        <v>8</v>
      </c>
      <c r="I5" s="11" t="s">
        <v>93</v>
      </c>
      <c r="J5" s="12">
        <v>4</v>
      </c>
      <c r="K5" s="11" t="s">
        <v>191</v>
      </c>
      <c r="L5" s="12">
        <v>9</v>
      </c>
      <c r="M5" s="11" t="s">
        <v>93</v>
      </c>
      <c r="N5" s="11" t="s">
        <v>192</v>
      </c>
      <c r="O5" s="23"/>
      <c r="P5" s="12">
        <v>5</v>
      </c>
      <c r="Q5" s="11" t="s">
        <v>42</v>
      </c>
      <c r="R5" s="11" t="s">
        <v>34</v>
      </c>
      <c r="S5" s="12">
        <v>4</v>
      </c>
      <c r="T5" s="11" t="s">
        <v>58</v>
      </c>
      <c r="U5" s="11" t="s">
        <v>408</v>
      </c>
      <c r="V5" s="12">
        <v>5</v>
      </c>
      <c r="W5" s="11" t="s">
        <v>125</v>
      </c>
      <c r="X5" s="12">
        <v>5</v>
      </c>
      <c r="Y5" s="12">
        <v>5</v>
      </c>
      <c r="Z5" s="11" t="s">
        <v>60</v>
      </c>
      <c r="AA5" s="12">
        <v>5</v>
      </c>
      <c r="AB5" s="11" t="s">
        <v>34</v>
      </c>
      <c r="AC5" s="11" t="s">
        <v>34</v>
      </c>
      <c r="AD5" s="11" t="s">
        <v>194</v>
      </c>
      <c r="AE5" s="11" t="s">
        <v>409</v>
      </c>
    </row>
    <row r="6" spans="1:31">
      <c r="H6">
        <f>SUM(H2:H5)</f>
        <v>19</v>
      </c>
      <c r="J6">
        <f>SUM(J2:J5)</f>
        <v>14</v>
      </c>
      <c r="L6">
        <f>SUM(L2:L5)</f>
        <v>26</v>
      </c>
      <c r="P6">
        <f>SUM(P2:P5)</f>
        <v>13</v>
      </c>
      <c r="S6">
        <f>SUM(S2:S5)</f>
        <v>9</v>
      </c>
      <c r="V6">
        <f>SUM(V2:V5)</f>
        <v>13</v>
      </c>
      <c r="X6">
        <f>SUM(X2:X5)</f>
        <v>19</v>
      </c>
      <c r="Y6">
        <f>SUM(Y2:Y5)</f>
        <v>20</v>
      </c>
      <c r="AA6">
        <f>SUM(AA2:AA5)</f>
        <v>12</v>
      </c>
    </row>
    <row r="10" spans="1:31">
      <c r="B10" t="s">
        <v>420</v>
      </c>
      <c r="C10">
        <v>4.75</v>
      </c>
      <c r="D10">
        <v>10</v>
      </c>
    </row>
    <row r="11" spans="1:31">
      <c r="B11" t="s">
        <v>422</v>
      </c>
      <c r="C11">
        <v>6.5</v>
      </c>
      <c r="D11">
        <v>10</v>
      </c>
    </row>
    <row r="12" spans="1:31">
      <c r="B12" t="s">
        <v>424</v>
      </c>
      <c r="C12">
        <v>3.58</v>
      </c>
      <c r="D12">
        <v>5</v>
      </c>
    </row>
    <row r="13" spans="1:31">
      <c r="B13" t="s">
        <v>426</v>
      </c>
      <c r="C13">
        <v>3.5</v>
      </c>
      <c r="D13">
        <v>10</v>
      </c>
      <c r="E13" t="s">
        <v>427</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5"/>
  <sheetViews>
    <sheetView workbookViewId="0">
      <selection activeCell="F15" sqref="F15"/>
    </sheetView>
  </sheetViews>
  <sheetFormatPr defaultColWidth="8.88888888888889" defaultRowHeight="13.2"/>
  <cols>
    <col min="3" max="3" width="19.3333333333333" customWidth="1"/>
  </cols>
  <sheetData>
    <row r="1" spans="1:3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3" t="s">
        <v>30</v>
      </c>
    </row>
    <row r="2" spans="1:32">
      <c r="B2" s="4">
        <v>46196.7975450463</v>
      </c>
      <c r="C2" s="5" t="s">
        <v>410</v>
      </c>
      <c r="D2" s="5" t="s">
        <v>32</v>
      </c>
      <c r="E2" s="5" t="s">
        <v>411</v>
      </c>
      <c r="F2" s="5" t="s">
        <v>34</v>
      </c>
      <c r="G2" s="5" t="s">
        <v>57</v>
      </c>
      <c r="H2" s="5" t="s">
        <v>52</v>
      </c>
      <c r="I2" s="7">
        <v>9</v>
      </c>
      <c r="J2" s="5" t="s">
        <v>93</v>
      </c>
      <c r="K2" s="7">
        <v>3</v>
      </c>
      <c r="L2" s="7">
        <v>12000</v>
      </c>
      <c r="M2" s="7">
        <v>9</v>
      </c>
      <c r="N2" s="5" t="s">
        <v>93</v>
      </c>
      <c r="O2" s="5" t="s">
        <v>412</v>
      </c>
      <c r="P2" s="6"/>
      <c r="Q2" s="7">
        <v>5</v>
      </c>
      <c r="R2" s="5" t="s">
        <v>42</v>
      </c>
      <c r="S2" s="5" t="s">
        <v>57</v>
      </c>
      <c r="T2" s="7">
        <v>5</v>
      </c>
      <c r="U2" s="5" t="s">
        <v>58</v>
      </c>
      <c r="V2" s="5" t="s">
        <v>93</v>
      </c>
      <c r="W2" s="7">
        <v>5</v>
      </c>
      <c r="X2" s="5" t="s">
        <v>45</v>
      </c>
      <c r="Y2" s="7">
        <v>4</v>
      </c>
      <c r="Z2" s="7">
        <v>2</v>
      </c>
      <c r="AA2" s="5" t="s">
        <v>46</v>
      </c>
      <c r="AB2" s="7">
        <v>5</v>
      </c>
      <c r="AC2" s="5" t="s">
        <v>34</v>
      </c>
      <c r="AD2" s="5" t="s">
        <v>34</v>
      </c>
      <c r="AE2" s="5" t="s">
        <v>413</v>
      </c>
      <c r="AF2" s="5" t="s">
        <v>275</v>
      </c>
    </row>
    <row r="3" spans="1:32">
      <c r="B3" s="10">
        <v>46196.7463596991</v>
      </c>
      <c r="C3" s="11" t="s">
        <v>276</v>
      </c>
      <c r="D3" s="11" t="s">
        <v>32</v>
      </c>
      <c r="E3" s="11" t="s">
        <v>414</v>
      </c>
      <c r="F3" s="11" t="s">
        <v>34</v>
      </c>
      <c r="G3" s="11" t="s">
        <v>93</v>
      </c>
      <c r="H3" s="11" t="s">
        <v>52</v>
      </c>
      <c r="I3" s="12">
        <v>8</v>
      </c>
      <c r="J3" s="11" t="s">
        <v>93</v>
      </c>
      <c r="K3" s="12">
        <v>3</v>
      </c>
      <c r="L3" s="11" t="s">
        <v>278</v>
      </c>
      <c r="M3" s="12">
        <v>9</v>
      </c>
      <c r="N3" s="11" t="s">
        <v>279</v>
      </c>
      <c r="O3" s="11" t="s">
        <v>280</v>
      </c>
      <c r="P3" s="11" t="s">
        <v>281</v>
      </c>
      <c r="Q3" s="12">
        <v>4</v>
      </c>
      <c r="R3" s="11" t="s">
        <v>42</v>
      </c>
      <c r="S3" s="11" t="s">
        <v>34</v>
      </c>
      <c r="T3" s="12">
        <v>4</v>
      </c>
      <c r="U3" s="11" t="s">
        <v>58</v>
      </c>
      <c r="V3" s="11" t="s">
        <v>282</v>
      </c>
      <c r="W3" s="12">
        <v>4</v>
      </c>
      <c r="X3" s="11" t="s">
        <v>71</v>
      </c>
      <c r="Y3" s="12">
        <v>3</v>
      </c>
      <c r="Z3" s="12">
        <v>2</v>
      </c>
      <c r="AA3" s="11" t="s">
        <v>60</v>
      </c>
      <c r="AB3" s="12">
        <v>3</v>
      </c>
      <c r="AC3" s="11" t="s">
        <v>34</v>
      </c>
      <c r="AD3" s="11" t="s">
        <v>34</v>
      </c>
      <c r="AE3" s="11" t="s">
        <v>415</v>
      </c>
      <c r="AF3" s="11" t="s">
        <v>284</v>
      </c>
    </row>
    <row r="4" spans="1:32">
      <c r="B4" s="4">
        <v>46194.7203824537</v>
      </c>
      <c r="C4" s="5" t="s">
        <v>297</v>
      </c>
      <c r="D4" s="14" t="s">
        <v>63</v>
      </c>
      <c r="E4" s="5" t="s">
        <v>416</v>
      </c>
      <c r="F4" s="5" t="s">
        <v>120</v>
      </c>
      <c r="G4" s="5" t="s">
        <v>93</v>
      </c>
      <c r="H4" s="5" t="s">
        <v>52</v>
      </c>
      <c r="I4" s="7">
        <v>5</v>
      </c>
      <c r="J4" s="5" t="s">
        <v>299</v>
      </c>
      <c r="K4" s="7">
        <v>4</v>
      </c>
      <c r="L4" s="6"/>
      <c r="M4" s="7">
        <v>7</v>
      </c>
      <c r="N4" s="5" t="s">
        <v>93</v>
      </c>
      <c r="O4" s="5" t="s">
        <v>417</v>
      </c>
      <c r="P4" s="6"/>
      <c r="Q4" s="7">
        <v>3</v>
      </c>
      <c r="R4" s="5" t="s">
        <v>69</v>
      </c>
      <c r="S4" s="5" t="s">
        <v>57</v>
      </c>
      <c r="T4" s="7">
        <v>1</v>
      </c>
      <c r="U4" s="5" t="s">
        <v>58</v>
      </c>
      <c r="V4" s="5" t="s">
        <v>93</v>
      </c>
      <c r="W4" s="7">
        <v>2</v>
      </c>
      <c r="X4" s="5" t="s">
        <v>45</v>
      </c>
      <c r="Y4" s="7">
        <v>3</v>
      </c>
      <c r="Z4" s="7">
        <v>4</v>
      </c>
      <c r="AA4" s="5" t="s">
        <v>203</v>
      </c>
      <c r="AB4" s="7">
        <v>2</v>
      </c>
      <c r="AC4" s="5" t="s">
        <v>34</v>
      </c>
      <c r="AD4" s="5" t="s">
        <v>34</v>
      </c>
      <c r="AE4" s="5" t="s">
        <v>301</v>
      </c>
      <c r="AF4" s="5" t="s">
        <v>302</v>
      </c>
    </row>
    <row r="5" spans="1:32">
      <c r="B5" s="15">
        <v>46196.740539838</v>
      </c>
      <c r="C5" s="16" t="s">
        <v>303</v>
      </c>
      <c r="D5" s="16" t="s">
        <v>63</v>
      </c>
      <c r="E5" s="16" t="s">
        <v>418</v>
      </c>
      <c r="F5" s="16" t="s">
        <v>34</v>
      </c>
      <c r="G5" s="16" t="s">
        <v>305</v>
      </c>
      <c r="H5" s="16" t="s">
        <v>52</v>
      </c>
      <c r="I5" s="17">
        <v>6</v>
      </c>
      <c r="J5" s="16" t="s">
        <v>306</v>
      </c>
      <c r="K5" s="17">
        <v>3</v>
      </c>
      <c r="L5" s="16" t="s">
        <v>307</v>
      </c>
      <c r="M5" s="17">
        <v>8</v>
      </c>
      <c r="N5" s="16" t="s">
        <v>308</v>
      </c>
      <c r="O5" s="16" t="s">
        <v>419</v>
      </c>
      <c r="P5" s="16" t="s">
        <v>310</v>
      </c>
      <c r="Q5" s="17">
        <v>3</v>
      </c>
      <c r="R5" s="16" t="s">
        <v>42</v>
      </c>
      <c r="S5" s="16" t="s">
        <v>34</v>
      </c>
      <c r="T5" s="17">
        <v>4</v>
      </c>
      <c r="U5" s="16" t="s">
        <v>58</v>
      </c>
      <c r="V5" s="16" t="s">
        <v>311</v>
      </c>
      <c r="W5" s="17">
        <v>4</v>
      </c>
      <c r="X5" s="16" t="s">
        <v>114</v>
      </c>
      <c r="Y5" s="17">
        <v>4</v>
      </c>
      <c r="Z5" s="17">
        <v>3</v>
      </c>
      <c r="AA5" s="16" t="s">
        <v>46</v>
      </c>
      <c r="AB5" s="17">
        <v>1</v>
      </c>
      <c r="AC5" s="16" t="s">
        <v>34</v>
      </c>
      <c r="AD5" s="16" t="s">
        <v>34</v>
      </c>
      <c r="AE5" s="16" t="s">
        <v>312</v>
      </c>
      <c r="AF5" s="16" t="s">
        <v>313</v>
      </c>
    </row>
    <row r="6" spans="1:32">
      <c r="I6">
        <f>SUM(I2:I5)</f>
        <v>28</v>
      </c>
      <c r="K6">
        <f>SUM(K2:K5)</f>
        <v>13</v>
      </c>
      <c r="M6">
        <f>SUM(M2:M5)</f>
        <v>33</v>
      </c>
      <c r="Q6">
        <f>SUM(Q2:Q5)</f>
        <v>15</v>
      </c>
      <c r="T6">
        <f>SUM(T2:T5)</f>
        <v>14</v>
      </c>
      <c r="W6">
        <f>SUM(W2:W5)</f>
        <v>15</v>
      </c>
      <c r="Y6">
        <f>SUM(Y2:Y5)</f>
        <v>14</v>
      </c>
      <c r="Z6">
        <f>SUM(Z2:Z5)</f>
        <v>11</v>
      </c>
      <c r="AB6">
        <f>SUM(AB2:AB5)</f>
        <v>11</v>
      </c>
    </row>
    <row r="12" spans="1:32">
      <c r="C12" t="s">
        <v>420</v>
      </c>
      <c r="D12">
        <v>7</v>
      </c>
      <c r="E12">
        <v>10</v>
      </c>
    </row>
    <row r="13" spans="1:32">
      <c r="C13" t="s">
        <v>422</v>
      </c>
      <c r="D13">
        <v>8.25</v>
      </c>
      <c r="E13">
        <v>10</v>
      </c>
    </row>
    <row r="14" spans="1:32">
      <c r="C14" t="s">
        <v>424</v>
      </c>
      <c r="D14">
        <v>3.33</v>
      </c>
      <c r="E14">
        <v>5</v>
      </c>
    </row>
    <row r="15" spans="1:32">
      <c r="C15" t="s">
        <v>426</v>
      </c>
      <c r="D15">
        <v>3.25</v>
      </c>
      <c r="E15">
        <v>10</v>
      </c>
      <c r="F15" t="s">
        <v>427</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1"/>
  <sheetViews>
    <sheetView tabSelected="1" workbookViewId="0">
      <selection activeCell="F11" sqref="F11"/>
    </sheetView>
  </sheetViews>
  <sheetFormatPr defaultColWidth="8.88888888888889" defaultRowHeight="13.2"/>
  <cols>
    <col min="3" max="3" width="18" customWidth="1"/>
  </cols>
  <sheetData>
    <row r="1" spans="1:37">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3" t="s">
        <v>30</v>
      </c>
    </row>
    <row r="2" ht="22.5" customHeight="1" spans="1:37">
      <c r="A2" s="4">
        <v>46194.679124456</v>
      </c>
      <c r="B2" s="5" t="s">
        <v>93</v>
      </c>
      <c r="C2" s="6"/>
      <c r="D2" s="5" t="s">
        <v>128</v>
      </c>
      <c r="E2" s="5" t="s">
        <v>120</v>
      </c>
      <c r="F2" s="5" t="s">
        <v>129</v>
      </c>
      <c r="G2" s="5" t="s">
        <v>130</v>
      </c>
      <c r="H2" s="7">
        <v>4</v>
      </c>
      <c r="I2" s="5" t="s">
        <v>93</v>
      </c>
      <c r="J2" s="7">
        <v>5</v>
      </c>
      <c r="K2" s="6"/>
      <c r="L2" s="7">
        <v>9</v>
      </c>
      <c r="M2" s="5" t="s">
        <v>93</v>
      </c>
      <c r="N2" s="5" t="s">
        <v>93</v>
      </c>
      <c r="O2" s="6"/>
      <c r="P2" s="7">
        <v>4</v>
      </c>
      <c r="Q2" s="5" t="s">
        <v>69</v>
      </c>
      <c r="R2" s="5" t="s">
        <v>34</v>
      </c>
      <c r="S2" s="7">
        <v>1</v>
      </c>
      <c r="T2" s="5" t="s">
        <v>43</v>
      </c>
      <c r="U2" s="5" t="s">
        <v>131</v>
      </c>
      <c r="V2" s="7">
        <v>1</v>
      </c>
      <c r="W2" s="5" t="s">
        <v>125</v>
      </c>
      <c r="X2" s="7">
        <v>3</v>
      </c>
      <c r="Y2" s="7">
        <v>5</v>
      </c>
      <c r="Z2" s="5" t="s">
        <v>60</v>
      </c>
      <c r="AA2" s="7">
        <v>4</v>
      </c>
      <c r="AB2" s="5" t="s">
        <v>57</v>
      </c>
      <c r="AC2" s="5" t="s">
        <v>34</v>
      </c>
      <c r="AD2" s="5" t="s">
        <v>132</v>
      </c>
      <c r="AE2" s="8" t="s">
        <v>133</v>
      </c>
      <c r="AF2" s="9"/>
      <c r="AG2" s="9"/>
      <c r="AH2" s="9"/>
      <c r="AI2" s="9"/>
      <c r="AJ2" s="9"/>
      <c r="AK2" s="9"/>
    </row>
    <row r="3" ht="22.5" customHeight="1" spans="1:37">
      <c r="A3" s="10">
        <v>46197.9139493866</v>
      </c>
      <c r="B3" s="11" t="s">
        <v>171</v>
      </c>
      <c r="C3" s="11" t="s">
        <v>32</v>
      </c>
      <c r="D3" s="11" t="s">
        <v>172</v>
      </c>
      <c r="E3" s="11" t="s">
        <v>34</v>
      </c>
      <c r="F3" s="11" t="s">
        <v>93</v>
      </c>
      <c r="G3" s="11" t="s">
        <v>36</v>
      </c>
      <c r="H3" s="12">
        <v>7</v>
      </c>
      <c r="I3" s="11" t="s">
        <v>93</v>
      </c>
      <c r="J3" s="12">
        <v>3</v>
      </c>
      <c r="K3" s="11" t="s">
        <v>173</v>
      </c>
      <c r="L3" s="12">
        <v>8</v>
      </c>
      <c r="M3" s="11" t="s">
        <v>93</v>
      </c>
      <c r="N3" s="11" t="s">
        <v>174</v>
      </c>
      <c r="O3" s="11" t="s">
        <v>175</v>
      </c>
      <c r="P3" s="12">
        <v>4</v>
      </c>
      <c r="Q3" s="11" t="s">
        <v>69</v>
      </c>
      <c r="R3" s="11" t="s">
        <v>57</v>
      </c>
      <c r="S3" s="12">
        <v>1</v>
      </c>
      <c r="T3" s="11" t="s">
        <v>43</v>
      </c>
      <c r="U3" s="11" t="s">
        <v>93</v>
      </c>
      <c r="V3" s="12">
        <v>3</v>
      </c>
      <c r="W3" s="11" t="s">
        <v>45</v>
      </c>
      <c r="X3" s="12">
        <v>3</v>
      </c>
      <c r="Y3" s="12">
        <v>4</v>
      </c>
      <c r="Z3" s="11" t="s">
        <v>60</v>
      </c>
      <c r="AA3" s="12">
        <v>5</v>
      </c>
      <c r="AB3" s="11" t="s">
        <v>34</v>
      </c>
      <c r="AC3" s="11" t="s">
        <v>34</v>
      </c>
      <c r="AD3" s="11" t="s">
        <v>176</v>
      </c>
      <c r="AE3" s="13" t="s">
        <v>177</v>
      </c>
      <c r="AF3" s="9"/>
      <c r="AG3" s="9"/>
      <c r="AH3" s="9"/>
      <c r="AI3" s="9"/>
      <c r="AJ3" s="9"/>
      <c r="AK3" s="9"/>
    </row>
    <row r="4" spans="1:37">
      <c r="H4">
        <f>SUM(H2:H3)</f>
        <v>11</v>
      </c>
      <c r="J4">
        <f>SUM(J2:J3)</f>
        <v>8</v>
      </c>
      <c r="L4">
        <f>SUM(L2:L3)</f>
        <v>17</v>
      </c>
      <c r="P4">
        <f>SUM(P2:P3)</f>
        <v>8</v>
      </c>
      <c r="S4">
        <f>SUM(S2:S3)</f>
        <v>2</v>
      </c>
      <c r="V4">
        <f>SUM(V2:V3)</f>
        <v>4</v>
      </c>
      <c r="X4">
        <f>SUM(X2:X3)</f>
        <v>6</v>
      </c>
      <c r="Y4">
        <f>SUM(Y2:Y3)</f>
        <v>9</v>
      </c>
      <c r="AA4">
        <f>SUM(AA2:AA3)</f>
        <v>9</v>
      </c>
    </row>
    <row r="8" spans="1:37">
      <c r="C8" t="s">
        <v>420</v>
      </c>
      <c r="D8">
        <v>4.5</v>
      </c>
      <c r="E8">
        <v>10</v>
      </c>
    </row>
    <row r="9" spans="1:37">
      <c r="C9" t="s">
        <v>422</v>
      </c>
      <c r="D9">
        <v>8.5</v>
      </c>
      <c r="E9">
        <v>10</v>
      </c>
    </row>
    <row r="10" spans="1:37">
      <c r="C10" t="s">
        <v>424</v>
      </c>
      <c r="D10">
        <v>3.167</v>
      </c>
      <c r="E10">
        <v>5</v>
      </c>
    </row>
    <row r="11" spans="1:37">
      <c r="C11" t="s">
        <v>426</v>
      </c>
      <c r="D11">
        <v>4</v>
      </c>
      <c r="E11">
        <v>10</v>
      </c>
      <c r="F11" t="s">
        <v>427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8</vt:i4>
      </vt:variant>
    </vt:vector>
  </HeadingPairs>
  <TitlesOfParts>
    <vt:vector size="8" baseType="lpstr">
      <vt:lpstr>Sheet1</vt:lpstr>
      <vt:lpstr>Sheet3</vt:lpstr>
      <vt:lpstr>BNKS</vt:lpstr>
      <vt:lpstr> SXC J</vt:lpstr>
      <vt:lpstr>Uniglobe</vt:lpstr>
      <vt:lpstr>KMC</vt:lpstr>
      <vt:lpstr>SXC M</vt:lpstr>
      <vt:lpstr>KV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Yogeshwor Sharma</cp:lastModifiedBy>
  <dcterms:created xsi:type="dcterms:W3CDTF">2026-06-26T09:12:00Z</dcterms:created>
  <dcterms:modified xsi:type="dcterms:W3CDTF">2026-06-26T16:15:40Z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7F334A5DAEAC48F18F96712A0A789DC4_12</vt:lpwstr>
  </property>
  <property fmtid="{D5CDD505-2E9C-101B-9397-08002B2CF9AE}" pid="3" name="KSOProductBuildVer">
    <vt:lpwstr>1033-12.1.0.26880</vt:lpwstr>
  </property>
  <property fmtid="{D5CDD505-2E9C-101B-9397-08002B2CF9AE}" pid="4" name="CalculationRule">
    <vt:i4>0</vt:i4>
  </property>
</Properties>
</file>